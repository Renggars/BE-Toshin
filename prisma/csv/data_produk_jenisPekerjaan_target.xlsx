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0Magang\Toshin-Backend\prisma\csv\"/>
    </mc:Choice>
  </mc:AlternateContent>
  <xr:revisionPtr revIDLastSave="0" documentId="13_ncr:1_{D71E403B-4872-49A5-8432-C40D9088E4C6}" xr6:coauthVersionLast="47" xr6:coauthVersionMax="47" xr10:uidLastSave="{00000000-0000-0000-0000-000000000000}"/>
  <bookViews>
    <workbookView xWindow="-110" yWindow="-110" windowWidth="25820" windowHeight="15500" activeTab="2" xr2:uid="{F7E02EFF-5AC9-42B8-87F9-A8098FE1B9FD}"/>
  </bookViews>
  <sheets>
    <sheet name="produk" sheetId="1" r:id="rId1"/>
    <sheet name="jenis_pekerjaan" sheetId="2" r:id="rId2"/>
    <sheet name="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2" i="3"/>
  <c r="E9" i="3"/>
  <c r="E12" i="3"/>
  <c r="E14" i="3"/>
  <c r="E18" i="3"/>
  <c r="E21" i="3"/>
  <c r="E24" i="3"/>
  <c r="E27" i="3"/>
  <c r="E30" i="3"/>
  <c r="E35" i="3"/>
  <c r="E40" i="3"/>
  <c r="E45" i="3"/>
  <c r="E50" i="3"/>
  <c r="E52" i="3"/>
  <c r="E54" i="3"/>
  <c r="E56" i="3"/>
  <c r="E58" i="3"/>
  <c r="E62" i="3"/>
  <c r="E65" i="3"/>
  <c r="E67" i="3"/>
  <c r="E69" i="3"/>
  <c r="E71" i="3"/>
  <c r="E75" i="3"/>
  <c r="E78" i="3"/>
  <c r="E80" i="3"/>
  <c r="E83" i="3"/>
  <c r="E89" i="3"/>
  <c r="E94" i="3"/>
  <c r="E97" i="3"/>
  <c r="E100" i="3"/>
  <c r="E105" i="3"/>
  <c r="E108" i="3"/>
  <c r="E112" i="3"/>
  <c r="E119" i="3"/>
  <c r="E124" i="3"/>
  <c r="E131" i="3"/>
  <c r="E136" i="3"/>
  <c r="E140" i="3"/>
  <c r="E144" i="3"/>
  <c r="E147" i="3"/>
  <c r="E154" i="3"/>
  <c r="E165" i="3"/>
  <c r="E167" i="3"/>
  <c r="E168" i="3"/>
  <c r="E173" i="3"/>
  <c r="E175" i="3"/>
  <c r="E176" i="3"/>
  <c r="E178" i="3"/>
  <c r="E181" i="3"/>
  <c r="E184" i="3"/>
  <c r="E189" i="3"/>
  <c r="E191" i="3"/>
  <c r="E195" i="3"/>
  <c r="E201" i="3"/>
  <c r="E206" i="3"/>
  <c r="E207" i="3"/>
  <c r="E211" i="3"/>
  <c r="E215" i="3"/>
  <c r="E219" i="3"/>
  <c r="E223" i="3"/>
  <c r="E226" i="3"/>
  <c r="E229" i="3"/>
  <c r="E232" i="3"/>
  <c r="E235" i="3"/>
  <c r="E239" i="3"/>
  <c r="E244" i="3"/>
  <c r="E245" i="3"/>
  <c r="E246" i="3"/>
  <c r="E247" i="3"/>
  <c r="E252" i="3"/>
  <c r="E255" i="3"/>
  <c r="E262" i="3"/>
  <c r="E265" i="3"/>
  <c r="E271" i="3"/>
  <c r="E277" i="3"/>
  <c r="E283" i="3"/>
  <c r="E289" i="3"/>
  <c r="E294" i="3"/>
  <c r="E297" i="3"/>
  <c r="E300" i="3"/>
  <c r="E303" i="3"/>
  <c r="E307" i="3"/>
  <c r="E312" i="3"/>
  <c r="E313" i="3"/>
  <c r="E318" i="3"/>
  <c r="E322" i="3"/>
  <c r="E326" i="3"/>
  <c r="E335" i="3"/>
  <c r="E339" i="3"/>
  <c r="E344" i="3"/>
  <c r="E350" i="3"/>
  <c r="E357" i="3"/>
  <c r="E363" i="3"/>
  <c r="E367" i="3"/>
  <c r="E369" i="3"/>
  <c r="E372" i="3"/>
  <c r="E376" i="3"/>
  <c r="E379" i="3"/>
  <c r="E381" i="3"/>
  <c r="E382" i="3"/>
  <c r="E387" i="3"/>
  <c r="E394" i="3"/>
  <c r="E400" i="3"/>
  <c r="E405" i="3"/>
  <c r="E410" i="3"/>
  <c r="E416" i="3"/>
  <c r="E420" i="3"/>
  <c r="E423" i="3"/>
  <c r="E431" i="3"/>
  <c r="E432" i="3"/>
  <c r="E441" i="3"/>
  <c r="E448" i="3"/>
  <c r="E449" i="3"/>
  <c r="E454" i="3"/>
  <c r="E459" i="3"/>
  <c r="E460" i="3"/>
  <c r="E463" i="3"/>
  <c r="E464" i="3"/>
  <c r="E472" i="3"/>
  <c r="E476" i="3"/>
  <c r="E481" i="3"/>
  <c r="E487" i="3"/>
  <c r="E489" i="3"/>
  <c r="E491" i="3"/>
  <c r="E493" i="3"/>
  <c r="E495" i="3"/>
  <c r="E498" i="3"/>
  <c r="E507" i="3"/>
  <c r="E516" i="3"/>
  <c r="E521" i="3"/>
  <c r="E522" i="3"/>
  <c r="E523" i="3"/>
  <c r="E524" i="3"/>
  <c r="D5" i="3"/>
  <c r="D9" i="3"/>
  <c r="D12" i="3"/>
  <c r="D14" i="3"/>
  <c r="D18" i="3"/>
  <c r="D21" i="3"/>
  <c r="D24" i="3"/>
  <c r="D27" i="3"/>
  <c r="D30" i="3"/>
  <c r="D35" i="3"/>
  <c r="D37" i="3"/>
  <c r="D40" i="3"/>
  <c r="D45" i="3"/>
  <c r="D50" i="3"/>
  <c r="D52" i="3"/>
  <c r="D54" i="3"/>
  <c r="D56" i="3"/>
  <c r="D58" i="3"/>
  <c r="D62" i="3"/>
  <c r="D65" i="3"/>
  <c r="D67" i="3"/>
  <c r="D69" i="3"/>
  <c r="D71" i="3"/>
  <c r="D75" i="3"/>
  <c r="D78" i="3"/>
  <c r="D80" i="3"/>
  <c r="D83" i="3"/>
  <c r="D89" i="3"/>
  <c r="D94" i="3"/>
  <c r="D97" i="3"/>
  <c r="D100" i="3"/>
  <c r="D101" i="3"/>
  <c r="D105" i="3"/>
  <c r="D108" i="3"/>
  <c r="D112" i="3"/>
  <c r="D119" i="3"/>
  <c r="D124" i="3"/>
  <c r="D129" i="3"/>
  <c r="D131" i="3"/>
  <c r="D133" i="3"/>
  <c r="D136" i="3"/>
  <c r="D140" i="3"/>
  <c r="D144" i="3"/>
  <c r="D147" i="3"/>
  <c r="D154" i="3"/>
  <c r="D165" i="3"/>
  <c r="D167" i="3"/>
  <c r="D173" i="3"/>
  <c r="D176" i="3"/>
  <c r="D178" i="3"/>
  <c r="D181" i="3"/>
  <c r="D184" i="3"/>
  <c r="D189" i="3"/>
  <c r="D190" i="3"/>
  <c r="D191" i="3"/>
  <c r="D193" i="3"/>
  <c r="D195" i="3"/>
  <c r="D197" i="3"/>
  <c r="D201" i="3"/>
  <c r="D206" i="3"/>
  <c r="D211" i="3"/>
  <c r="D215" i="3"/>
  <c r="D219" i="3"/>
  <c r="D223" i="3"/>
  <c r="D225" i="3"/>
  <c r="D226" i="3"/>
  <c r="D229" i="3"/>
  <c r="D232" i="3"/>
  <c r="D235" i="3"/>
  <c r="D239" i="3"/>
  <c r="D245" i="3"/>
  <c r="D247" i="3"/>
  <c r="D252" i="3"/>
  <c r="D255" i="3"/>
  <c r="D257" i="3"/>
  <c r="D261" i="3"/>
  <c r="D262" i="3"/>
  <c r="D265" i="3"/>
  <c r="D271" i="3"/>
  <c r="D277" i="3"/>
  <c r="D283" i="3"/>
  <c r="D289" i="3"/>
  <c r="D293" i="3"/>
  <c r="D294" i="3"/>
  <c r="D297" i="3"/>
  <c r="D300" i="3"/>
  <c r="D307" i="3"/>
  <c r="D313" i="3"/>
  <c r="D318" i="3"/>
  <c r="D321" i="3"/>
  <c r="D322" i="3"/>
  <c r="D325" i="3"/>
  <c r="D326" i="3"/>
  <c r="D335" i="3"/>
  <c r="D339" i="3"/>
  <c r="D344" i="3"/>
  <c r="D350" i="3"/>
  <c r="D353" i="3"/>
  <c r="D357" i="3"/>
  <c r="D363" i="3"/>
  <c r="D369" i="3"/>
  <c r="D372" i="3"/>
  <c r="D376" i="3"/>
  <c r="D379" i="3"/>
  <c r="D382" i="3"/>
  <c r="D385" i="3"/>
  <c r="D387" i="3"/>
  <c r="D389" i="3"/>
  <c r="D394" i="3"/>
  <c r="D400" i="3"/>
  <c r="D405" i="3"/>
  <c r="D410" i="3"/>
  <c r="D414" i="3"/>
  <c r="D416" i="3"/>
  <c r="D417" i="3"/>
  <c r="D420" i="3"/>
  <c r="D421" i="3"/>
  <c r="D423" i="3"/>
  <c r="D432" i="3"/>
  <c r="D441" i="3"/>
  <c r="D448" i="3"/>
  <c r="D449" i="3"/>
  <c r="D453" i="3"/>
  <c r="D454" i="3"/>
  <c r="D460" i="3"/>
  <c r="D464" i="3"/>
  <c r="D472" i="3"/>
  <c r="D476" i="3"/>
  <c r="D478" i="3"/>
  <c r="D481" i="3"/>
  <c r="D485" i="3"/>
  <c r="D487" i="3"/>
  <c r="D489" i="3"/>
  <c r="D493" i="3"/>
  <c r="D498" i="3"/>
  <c r="D507" i="3"/>
  <c r="D510" i="3"/>
  <c r="D513" i="3"/>
  <c r="D516" i="3"/>
  <c r="D517" i="3"/>
  <c r="D521" i="3"/>
  <c r="A3" i="2"/>
  <c r="E258" i="3" s="1"/>
  <c r="A4" i="2"/>
  <c r="E34" i="3" s="1"/>
  <c r="A5" i="2"/>
  <c r="E213" i="3" s="1"/>
  <c r="A6" i="2"/>
  <c r="E194" i="3" s="1"/>
  <c r="A7" i="2"/>
  <c r="E269" i="3" s="1"/>
  <c r="A8" i="2"/>
  <c r="E270" i="3" s="1"/>
  <c r="A9" i="2"/>
  <c r="A10" i="2"/>
  <c r="E391" i="3" s="1"/>
  <c r="A11" i="2"/>
  <c r="E305" i="3" s="1"/>
  <c r="A12" i="2"/>
  <c r="E356" i="3" s="1"/>
  <c r="A13" i="2"/>
  <c r="E500" i="3" s="1"/>
  <c r="A14" i="2"/>
  <c r="E501" i="3" s="1"/>
  <c r="A15" i="2"/>
  <c r="E502" i="3" s="1"/>
  <c r="A16" i="2"/>
  <c r="E361" i="3" s="1"/>
  <c r="A17" i="2"/>
  <c r="E324" i="3" s="1"/>
  <c r="A18" i="2"/>
  <c r="E304" i="3" s="1"/>
  <c r="A19" i="2"/>
  <c r="E306" i="3" s="1"/>
  <c r="A20" i="2"/>
  <c r="E260" i="3" s="1"/>
  <c r="A21" i="2"/>
  <c r="E484" i="3" s="1"/>
  <c r="A22" i="2"/>
  <c r="E474" i="3" s="1"/>
  <c r="A23" i="2"/>
  <c r="E475" i="3" s="1"/>
  <c r="A24" i="2"/>
  <c r="E170" i="3" s="1"/>
  <c r="A25" i="2"/>
  <c r="E359" i="3" s="1"/>
  <c r="A26" i="2"/>
  <c r="E328" i="3" s="1"/>
  <c r="A27" i="2"/>
  <c r="E331" i="3" s="1"/>
  <c r="A28" i="2"/>
  <c r="E485" i="3" s="1"/>
  <c r="A29" i="2"/>
  <c r="E492" i="3" s="1"/>
  <c r="A30" i="2"/>
  <c r="E130" i="3" s="1"/>
  <c r="A31" i="2"/>
  <c r="E451" i="3" s="1"/>
  <c r="A32" i="2"/>
  <c r="E389" i="3" s="1"/>
  <c r="A33" i="2"/>
  <c r="E452" i="3" s="1"/>
  <c r="A34" i="2"/>
  <c r="E397" i="3" s="1"/>
  <c r="A35" i="2"/>
  <c r="E398" i="3" s="1"/>
  <c r="A36" i="2"/>
  <c r="A37" i="2"/>
  <c r="E332" i="3" s="1"/>
  <c r="A38" i="2"/>
  <c r="E333" i="3" s="1"/>
  <c r="A39" i="2"/>
  <c r="A40" i="2"/>
  <c r="E483" i="3" s="1"/>
  <c r="A41" i="2"/>
  <c r="E486" i="3" s="1"/>
  <c r="A42" i="2"/>
  <c r="E138" i="3" s="1"/>
  <c r="A43" i="2"/>
  <c r="E470" i="3" s="1"/>
  <c r="A44" i="2"/>
  <c r="E469" i="3" s="1"/>
  <c r="A45" i="2"/>
  <c r="E426" i="3" s="1"/>
  <c r="A46" i="2"/>
  <c r="E355" i="3" s="1"/>
  <c r="A47" i="2"/>
  <c r="E104" i="3" s="1"/>
  <c r="A48" i="2"/>
  <c r="E386" i="3" s="1"/>
  <c r="A49" i="2"/>
  <c r="E354" i="3" s="1"/>
  <c r="A50" i="2"/>
  <c r="E199" i="3" s="1"/>
  <c r="A51" i="2"/>
  <c r="A52" i="2"/>
  <c r="A53" i="2"/>
  <c r="E514" i="3" s="1"/>
  <c r="A54" i="2"/>
  <c r="E471" i="3" s="1"/>
  <c r="A55" i="2"/>
  <c r="A56" i="2"/>
  <c r="E135" i="3" s="1"/>
  <c r="A57" i="2"/>
  <c r="A58" i="2"/>
  <c r="E156" i="3" s="1"/>
  <c r="A59" i="2"/>
  <c r="E157" i="3" s="1"/>
  <c r="A60" i="2"/>
  <c r="E159" i="3" s="1"/>
  <c r="A61" i="2"/>
  <c r="E158" i="3" s="1"/>
  <c r="A62" i="2"/>
  <c r="E160" i="3" s="1"/>
  <c r="A63" i="2"/>
  <c r="E161" i="3" s="1"/>
  <c r="A64" i="2"/>
  <c r="E162" i="3" s="1"/>
  <c r="A65" i="2"/>
  <c r="E163" i="3" s="1"/>
  <c r="A66" i="2"/>
  <c r="E164" i="3" s="1"/>
  <c r="A67" i="2"/>
  <c r="A68" i="2"/>
  <c r="E259" i="3" s="1"/>
  <c r="A69" i="2"/>
  <c r="A70" i="2"/>
  <c r="E442" i="3" s="1"/>
  <c r="A71" i="2"/>
  <c r="E447" i="3" s="1"/>
  <c r="A72" i="2"/>
  <c r="E515" i="3" s="1"/>
  <c r="A73" i="2"/>
  <c r="E445" i="3" s="1"/>
  <c r="A74" i="2"/>
  <c r="A75" i="2"/>
  <c r="E396" i="3" s="1"/>
  <c r="A76" i="2"/>
  <c r="E427" i="3" s="1"/>
  <c r="A77" i="2"/>
  <c r="E430" i="3" s="1"/>
  <c r="A78" i="2"/>
  <c r="E458" i="3" s="1"/>
  <c r="A79" i="2"/>
  <c r="E330" i="3" s="1"/>
  <c r="A2" i="2"/>
  <c r="E2" i="3" s="1"/>
  <c r="A3" i="1"/>
  <c r="D10" i="3" s="1"/>
  <c r="A4" i="1"/>
  <c r="D13" i="3" s="1"/>
  <c r="A5" i="1"/>
  <c r="D15" i="3" s="1"/>
  <c r="A6" i="1"/>
  <c r="D19" i="3" s="1"/>
  <c r="A7" i="1"/>
  <c r="D22" i="3" s="1"/>
  <c r="A8" i="1"/>
  <c r="D25" i="3" s="1"/>
  <c r="A9" i="1"/>
  <c r="D28" i="3" s="1"/>
  <c r="A10" i="1"/>
  <c r="D31" i="3" s="1"/>
  <c r="A11" i="1"/>
  <c r="D36" i="3" s="1"/>
  <c r="A12" i="1"/>
  <c r="D41" i="3" s="1"/>
  <c r="A13" i="1"/>
  <c r="D46" i="3" s="1"/>
  <c r="A14" i="1"/>
  <c r="D51" i="3" s="1"/>
  <c r="A15" i="1"/>
  <c r="D53" i="3" s="1"/>
  <c r="A16" i="1"/>
  <c r="D55" i="3" s="1"/>
  <c r="A17" i="1"/>
  <c r="D57" i="3" s="1"/>
  <c r="A18" i="1"/>
  <c r="D59" i="3" s="1"/>
  <c r="A19" i="1"/>
  <c r="D63" i="3" s="1"/>
  <c r="A20" i="1"/>
  <c r="D66" i="3" s="1"/>
  <c r="A21" i="1"/>
  <c r="D68" i="3" s="1"/>
  <c r="A22" i="1"/>
  <c r="D70" i="3" s="1"/>
  <c r="A23" i="1"/>
  <c r="D72" i="3" s="1"/>
  <c r="A24" i="1"/>
  <c r="D76" i="3" s="1"/>
  <c r="A25" i="1"/>
  <c r="D79" i="3" s="1"/>
  <c r="A26" i="1"/>
  <c r="D81" i="3" s="1"/>
  <c r="A27" i="1"/>
  <c r="D88" i="3" s="1"/>
  <c r="A28" i="1"/>
  <c r="D90" i="3" s="1"/>
  <c r="A29" i="1"/>
  <c r="D95" i="3" s="1"/>
  <c r="A30" i="1"/>
  <c r="D98" i="3" s="1"/>
  <c r="A31" i="1"/>
  <c r="D102" i="3" s="1"/>
  <c r="A32" i="1"/>
  <c r="D106" i="3" s="1"/>
  <c r="A33" i="1"/>
  <c r="D109" i="3" s="1"/>
  <c r="A34" i="1"/>
  <c r="D113" i="3" s="1"/>
  <c r="A35" i="1"/>
  <c r="D120" i="3" s="1"/>
  <c r="A36" i="1"/>
  <c r="D125" i="3" s="1"/>
  <c r="A37" i="1"/>
  <c r="D132" i="3" s="1"/>
  <c r="A38" i="1"/>
  <c r="D137" i="3" s="1"/>
  <c r="A39" i="1"/>
  <c r="D141" i="3" s="1"/>
  <c r="A40" i="1"/>
  <c r="D145" i="3" s="1"/>
  <c r="A41" i="1"/>
  <c r="D152" i="3" s="1"/>
  <c r="A42" i="1"/>
  <c r="D155" i="3" s="1"/>
  <c r="A43" i="1"/>
  <c r="D166" i="3" s="1"/>
  <c r="A44" i="1"/>
  <c r="D168" i="3" s="1"/>
  <c r="A45" i="1"/>
  <c r="D169" i="3" s="1"/>
  <c r="A46" i="1"/>
  <c r="D174" i="3" s="1"/>
  <c r="A47" i="1"/>
  <c r="D177" i="3" s="1"/>
  <c r="A48" i="1"/>
  <c r="D179" i="3" s="1"/>
  <c r="A49" i="1"/>
  <c r="D182" i="3" s="1"/>
  <c r="A50" i="1"/>
  <c r="D185" i="3" s="1"/>
  <c r="A51" i="1"/>
  <c r="D192" i="3" s="1"/>
  <c r="A52" i="1"/>
  <c r="D196" i="3" s="1"/>
  <c r="A53" i="1"/>
  <c r="D202" i="3" s="1"/>
  <c r="A54" i="1"/>
  <c r="D207" i="3" s="1"/>
  <c r="A55" i="1"/>
  <c r="D212" i="3" s="1"/>
  <c r="A56" i="1"/>
  <c r="D216" i="3" s="1"/>
  <c r="A57" i="1"/>
  <c r="D220" i="3" s="1"/>
  <c r="A58" i="1"/>
  <c r="D224" i="3" s="1"/>
  <c r="A59" i="1"/>
  <c r="D227" i="3" s="1"/>
  <c r="A60" i="1"/>
  <c r="D230" i="3" s="1"/>
  <c r="A61" i="1"/>
  <c r="D233" i="3" s="1"/>
  <c r="A62" i="1"/>
  <c r="D236" i="3" s="1"/>
  <c r="A63" i="1"/>
  <c r="D240" i="3" s="1"/>
  <c r="A64" i="1"/>
  <c r="D246" i="3" s="1"/>
  <c r="A65" i="1"/>
  <c r="D248" i="3" s="1"/>
  <c r="A66" i="1"/>
  <c r="D253" i="3" s="1"/>
  <c r="A67" i="1"/>
  <c r="D256" i="3" s="1"/>
  <c r="A68" i="1"/>
  <c r="D263" i="3" s="1"/>
  <c r="A69" i="1"/>
  <c r="D266" i="3" s="1"/>
  <c r="A70" i="1"/>
  <c r="D272" i="3" s="1"/>
  <c r="A71" i="1"/>
  <c r="D280" i="3" s="1"/>
  <c r="A72" i="1"/>
  <c r="D284" i="3" s="1"/>
  <c r="A73" i="1"/>
  <c r="D290" i="3" s="1"/>
  <c r="A74" i="1"/>
  <c r="D295" i="3" s="1"/>
  <c r="A75" i="1"/>
  <c r="D298" i="3" s="1"/>
  <c r="A76" i="1"/>
  <c r="D301" i="3" s="1"/>
  <c r="A77" i="1"/>
  <c r="D312" i="3" s="1"/>
  <c r="A78" i="1"/>
  <c r="D314" i="3" s="1"/>
  <c r="A79" i="1"/>
  <c r="D319" i="3" s="1"/>
  <c r="A80" i="1"/>
  <c r="D323" i="3" s="1"/>
  <c r="A81" i="1"/>
  <c r="D327" i="3" s="1"/>
  <c r="A82" i="1"/>
  <c r="D336" i="3" s="1"/>
  <c r="A83" i="1"/>
  <c r="D340" i="3" s="1"/>
  <c r="A84" i="1"/>
  <c r="D345" i="3" s="1"/>
  <c r="A85" i="1"/>
  <c r="D351" i="3" s="1"/>
  <c r="A86" i="1"/>
  <c r="D358" i="3" s="1"/>
  <c r="A87" i="1"/>
  <c r="D364" i="3" s="1"/>
  <c r="A88" i="1"/>
  <c r="D370" i="3" s="1"/>
  <c r="A89" i="1"/>
  <c r="D373" i="3" s="1"/>
  <c r="A90" i="1"/>
  <c r="D377" i="3" s="1"/>
  <c r="A91" i="1"/>
  <c r="D380" i="3" s="1"/>
  <c r="A92" i="1"/>
  <c r="D383" i="3" s="1"/>
  <c r="A93" i="1"/>
  <c r="D388" i="3" s="1"/>
  <c r="A94" i="1"/>
  <c r="D395" i="3" s="1"/>
  <c r="A95" i="1"/>
  <c r="D401" i="3" s="1"/>
  <c r="A96" i="1"/>
  <c r="D408" i="3" s="1"/>
  <c r="A97" i="1"/>
  <c r="D411" i="3" s="1"/>
  <c r="A98" i="1"/>
  <c r="D418" i="3" s="1"/>
  <c r="A99" i="1"/>
  <c r="D422" i="3" s="1"/>
  <c r="A100" i="1"/>
  <c r="D424" i="3" s="1"/>
  <c r="A101" i="1"/>
  <c r="D440" i="3" s="1"/>
  <c r="A102" i="1"/>
  <c r="D442" i="3" s="1"/>
  <c r="A103" i="1"/>
  <c r="A104" i="1"/>
  <c r="D450" i="3" s="1"/>
  <c r="A105" i="1"/>
  <c r="D455" i="3" s="1"/>
  <c r="A106" i="1"/>
  <c r="D461" i="3" s="1"/>
  <c r="A107" i="1"/>
  <c r="D465" i="3" s="1"/>
  <c r="A108" i="1"/>
  <c r="D473" i="3" s="1"/>
  <c r="A109" i="1"/>
  <c r="D477" i="3" s="1"/>
  <c r="A110" i="1"/>
  <c r="D482" i="3" s="1"/>
  <c r="A111" i="1"/>
  <c r="D488" i="3" s="1"/>
  <c r="A112" i="1"/>
  <c r="D490" i="3" s="1"/>
  <c r="A113" i="1"/>
  <c r="D494" i="3" s="1"/>
  <c r="A114" i="1"/>
  <c r="D504" i="3" s="1"/>
  <c r="A115" i="1"/>
  <c r="D508" i="3" s="1"/>
  <c r="A116" i="1"/>
  <c r="D518" i="3" s="1"/>
  <c r="A117" i="1"/>
  <c r="D522" i="3" s="1"/>
  <c r="A118" i="1"/>
  <c r="D523" i="3" s="1"/>
  <c r="A119" i="1"/>
  <c r="D524" i="3" s="1"/>
  <c r="A2" i="1"/>
  <c r="D3" i="3" s="1"/>
  <c r="D503" i="3" l="1"/>
  <c r="D471" i="3"/>
  <c r="D439" i="3"/>
  <c r="D407" i="3"/>
  <c r="D375" i="3"/>
  <c r="D343" i="3"/>
  <c r="D311" i="3"/>
  <c r="D279" i="3"/>
  <c r="D183" i="3"/>
  <c r="D151" i="3"/>
  <c r="D87" i="3"/>
  <c r="D23" i="3"/>
  <c r="E513" i="3"/>
  <c r="E417" i="3"/>
  <c r="E385" i="3"/>
  <c r="E353" i="3"/>
  <c r="E321" i="3"/>
  <c r="E257" i="3"/>
  <c r="E225" i="3"/>
  <c r="E193" i="3"/>
  <c r="E129" i="3"/>
  <c r="E33" i="3"/>
  <c r="D502" i="3"/>
  <c r="D470" i="3"/>
  <c r="D438" i="3"/>
  <c r="D406" i="3"/>
  <c r="D374" i="3"/>
  <c r="D342" i="3"/>
  <c r="D310" i="3"/>
  <c r="D278" i="3"/>
  <c r="D214" i="3"/>
  <c r="D150" i="3"/>
  <c r="D118" i="3"/>
  <c r="D86" i="3"/>
  <c r="E512" i="3"/>
  <c r="E480" i="3"/>
  <c r="E384" i="3"/>
  <c r="E352" i="3"/>
  <c r="E320" i="3"/>
  <c r="E288" i="3"/>
  <c r="E256" i="3"/>
  <c r="E224" i="3"/>
  <c r="E192" i="3"/>
  <c r="E128" i="3"/>
  <c r="E96" i="3"/>
  <c r="E64" i="3"/>
  <c r="E32" i="3"/>
  <c r="D501" i="3"/>
  <c r="D469" i="3"/>
  <c r="D437" i="3"/>
  <c r="D341" i="3"/>
  <c r="D309" i="3"/>
  <c r="D213" i="3"/>
  <c r="D149" i="3"/>
  <c r="D117" i="3"/>
  <c r="D85" i="3"/>
  <c r="E511" i="3"/>
  <c r="E479" i="3"/>
  <c r="E415" i="3"/>
  <c r="E383" i="3"/>
  <c r="E351" i="3"/>
  <c r="E319" i="3"/>
  <c r="E287" i="3"/>
  <c r="E127" i="3"/>
  <c r="E95" i="3"/>
  <c r="E63" i="3"/>
  <c r="E31" i="3"/>
  <c r="D500" i="3"/>
  <c r="D468" i="3"/>
  <c r="D436" i="3"/>
  <c r="D404" i="3"/>
  <c r="D308" i="3"/>
  <c r="D276" i="3"/>
  <c r="D244" i="3"/>
  <c r="D180" i="3"/>
  <c r="D148" i="3"/>
  <c r="D116" i="3"/>
  <c r="D84" i="3"/>
  <c r="D20" i="3"/>
  <c r="E510" i="3"/>
  <c r="E478" i="3"/>
  <c r="E446" i="3"/>
  <c r="E414" i="3"/>
  <c r="E286" i="3"/>
  <c r="E254" i="3"/>
  <c r="E222" i="3"/>
  <c r="E190" i="3"/>
  <c r="E126" i="3"/>
  <c r="D499" i="3"/>
  <c r="D467" i="3"/>
  <c r="D435" i="3"/>
  <c r="D403" i="3"/>
  <c r="D371" i="3"/>
  <c r="D275" i="3"/>
  <c r="D243" i="3"/>
  <c r="D115" i="3"/>
  <c r="E509" i="3"/>
  <c r="E477" i="3"/>
  <c r="E413" i="3"/>
  <c r="E349" i="3"/>
  <c r="E317" i="3"/>
  <c r="E285" i="3"/>
  <c r="E253" i="3"/>
  <c r="E221" i="3"/>
  <c r="E125" i="3"/>
  <c r="E93" i="3"/>
  <c r="E61" i="3"/>
  <c r="E29" i="3"/>
  <c r="D466" i="3"/>
  <c r="D434" i="3"/>
  <c r="D402" i="3"/>
  <c r="D338" i="3"/>
  <c r="D306" i="3"/>
  <c r="D274" i="3"/>
  <c r="D242" i="3"/>
  <c r="D210" i="3"/>
  <c r="D146" i="3"/>
  <c r="D114" i="3"/>
  <c r="D82" i="3"/>
  <c r="E508" i="3"/>
  <c r="E444" i="3"/>
  <c r="E412" i="3"/>
  <c r="E380" i="3"/>
  <c r="E348" i="3"/>
  <c r="E316" i="3"/>
  <c r="E284" i="3"/>
  <c r="E220" i="3"/>
  <c r="E188" i="3"/>
  <c r="E92" i="3"/>
  <c r="E60" i="3"/>
  <c r="E28" i="3"/>
  <c r="D497" i="3"/>
  <c r="D433" i="3"/>
  <c r="D337" i="3"/>
  <c r="D305" i="3"/>
  <c r="D273" i="3"/>
  <c r="D241" i="3"/>
  <c r="D209" i="3"/>
  <c r="D49" i="3"/>
  <c r="D17" i="3"/>
  <c r="E443" i="3"/>
  <c r="E411" i="3"/>
  <c r="E347" i="3"/>
  <c r="E315" i="3"/>
  <c r="E251" i="3"/>
  <c r="E187" i="3"/>
  <c r="E155" i="3"/>
  <c r="E123" i="3"/>
  <c r="E91" i="3"/>
  <c r="E59" i="3"/>
  <c r="D496" i="3"/>
  <c r="D368" i="3"/>
  <c r="D304" i="3"/>
  <c r="D208" i="3"/>
  <c r="D48" i="3"/>
  <c r="D16" i="3"/>
  <c r="E506" i="3"/>
  <c r="E378" i="3"/>
  <c r="E346" i="3"/>
  <c r="E314" i="3"/>
  <c r="E282" i="3"/>
  <c r="E250" i="3"/>
  <c r="E218" i="3"/>
  <c r="E186" i="3"/>
  <c r="E122" i="3"/>
  <c r="E90" i="3"/>
  <c r="E26" i="3"/>
  <c r="D495" i="3"/>
  <c r="D463" i="3"/>
  <c r="D431" i="3"/>
  <c r="D399" i="3"/>
  <c r="D367" i="3"/>
  <c r="D303" i="3"/>
  <c r="D175" i="3"/>
  <c r="D143" i="3"/>
  <c r="D111" i="3"/>
  <c r="D47" i="3"/>
  <c r="E505" i="3"/>
  <c r="E473" i="3"/>
  <c r="E409" i="3"/>
  <c r="E377" i="3"/>
  <c r="E345" i="3"/>
  <c r="E281" i="3"/>
  <c r="E249" i="3"/>
  <c r="E217" i="3"/>
  <c r="E185" i="3"/>
  <c r="E153" i="3"/>
  <c r="E121" i="3"/>
  <c r="E57" i="3"/>
  <c r="E25" i="3"/>
  <c r="D462" i="3"/>
  <c r="D430" i="3"/>
  <c r="D398" i="3"/>
  <c r="D366" i="3"/>
  <c r="D334" i="3"/>
  <c r="D302" i="3"/>
  <c r="D270" i="3"/>
  <c r="D238" i="3"/>
  <c r="D142" i="3"/>
  <c r="D110" i="3"/>
  <c r="E504" i="3"/>
  <c r="E440" i="3"/>
  <c r="E408" i="3"/>
  <c r="E280" i="3"/>
  <c r="E248" i="3"/>
  <c r="E216" i="3"/>
  <c r="E152" i="3"/>
  <c r="E120" i="3"/>
  <c r="E88" i="3"/>
  <c r="D2" i="3"/>
  <c r="D429" i="3"/>
  <c r="D397" i="3"/>
  <c r="D365" i="3"/>
  <c r="D333" i="3"/>
  <c r="D269" i="3"/>
  <c r="D237" i="3"/>
  <c r="D205" i="3"/>
  <c r="D77" i="3"/>
  <c r="E503" i="3"/>
  <c r="E439" i="3"/>
  <c r="E407" i="3"/>
  <c r="E375" i="3"/>
  <c r="E343" i="3"/>
  <c r="E311" i="3"/>
  <c r="E279" i="3"/>
  <c r="E183" i="3"/>
  <c r="E151" i="3"/>
  <c r="E87" i="3"/>
  <c r="E55" i="3"/>
  <c r="E23" i="3"/>
  <c r="D492" i="3"/>
  <c r="D428" i="3"/>
  <c r="D396" i="3"/>
  <c r="D332" i="3"/>
  <c r="D268" i="3"/>
  <c r="D204" i="3"/>
  <c r="D172" i="3"/>
  <c r="D44" i="3"/>
  <c r="E438" i="3"/>
  <c r="E406" i="3"/>
  <c r="E374" i="3"/>
  <c r="E342" i="3"/>
  <c r="E310" i="3"/>
  <c r="E278" i="3"/>
  <c r="E214" i="3"/>
  <c r="E182" i="3"/>
  <c r="E150" i="3"/>
  <c r="E118" i="3"/>
  <c r="E86" i="3"/>
  <c r="E22" i="3"/>
  <c r="D491" i="3"/>
  <c r="D459" i="3"/>
  <c r="D427" i="3"/>
  <c r="D331" i="3"/>
  <c r="D299" i="3"/>
  <c r="D267" i="3"/>
  <c r="D203" i="3"/>
  <c r="D171" i="3"/>
  <c r="D139" i="3"/>
  <c r="D107" i="3"/>
  <c r="D43" i="3"/>
  <c r="D11" i="3"/>
  <c r="E437" i="3"/>
  <c r="E373" i="3"/>
  <c r="E341" i="3"/>
  <c r="E309" i="3"/>
  <c r="E149" i="3"/>
  <c r="E117" i="3"/>
  <c r="E85" i="3"/>
  <c r="E53" i="3"/>
  <c r="D458" i="3"/>
  <c r="D426" i="3"/>
  <c r="D362" i="3"/>
  <c r="D330" i="3"/>
  <c r="D234" i="3"/>
  <c r="D170" i="3"/>
  <c r="D138" i="3"/>
  <c r="D74" i="3"/>
  <c r="D42" i="3"/>
  <c r="E468" i="3"/>
  <c r="E436" i="3"/>
  <c r="E404" i="3"/>
  <c r="E340" i="3"/>
  <c r="E308" i="3"/>
  <c r="E276" i="3"/>
  <c r="E212" i="3"/>
  <c r="E180" i="3"/>
  <c r="E148" i="3"/>
  <c r="E116" i="3"/>
  <c r="E84" i="3"/>
  <c r="E20" i="3"/>
  <c r="D457" i="3"/>
  <c r="D425" i="3"/>
  <c r="D393" i="3"/>
  <c r="D361" i="3"/>
  <c r="D329" i="3"/>
  <c r="D73" i="3"/>
  <c r="E499" i="3"/>
  <c r="E467" i="3"/>
  <c r="E435" i="3"/>
  <c r="E403" i="3"/>
  <c r="E371" i="3"/>
  <c r="E275" i="3"/>
  <c r="E243" i="3"/>
  <c r="E179" i="3"/>
  <c r="E115" i="3"/>
  <c r="E51" i="3"/>
  <c r="E19" i="3"/>
  <c r="D520" i="3"/>
  <c r="D456" i="3"/>
  <c r="D392" i="3"/>
  <c r="D360" i="3"/>
  <c r="D328" i="3"/>
  <c r="D296" i="3"/>
  <c r="D264" i="3"/>
  <c r="D200" i="3"/>
  <c r="D104" i="3"/>
  <c r="D8" i="3"/>
  <c r="E466" i="3"/>
  <c r="E434" i="3"/>
  <c r="E402" i="3"/>
  <c r="E370" i="3"/>
  <c r="E338" i="3"/>
  <c r="E274" i="3"/>
  <c r="E242" i="3"/>
  <c r="E210" i="3"/>
  <c r="E146" i="3"/>
  <c r="E114" i="3"/>
  <c r="E82" i="3"/>
  <c r="D33" i="3"/>
  <c r="D519" i="3"/>
  <c r="D391" i="3"/>
  <c r="D359" i="3"/>
  <c r="D231" i="3"/>
  <c r="D199" i="3"/>
  <c r="D135" i="3"/>
  <c r="D103" i="3"/>
  <c r="D39" i="3"/>
  <c r="D7" i="3"/>
  <c r="E497" i="3"/>
  <c r="E465" i="3"/>
  <c r="E433" i="3"/>
  <c r="E401" i="3"/>
  <c r="E337" i="3"/>
  <c r="E273" i="3"/>
  <c r="E241" i="3"/>
  <c r="E209" i="3"/>
  <c r="E177" i="3"/>
  <c r="E145" i="3"/>
  <c r="E113" i="3"/>
  <c r="E81" i="3"/>
  <c r="E49" i="3"/>
  <c r="E17" i="3"/>
  <c r="D486" i="3"/>
  <c r="D390" i="3"/>
  <c r="D198" i="3"/>
  <c r="D134" i="3"/>
  <c r="D38" i="3"/>
  <c r="D6" i="3"/>
  <c r="E496" i="3"/>
  <c r="E368" i="3"/>
  <c r="E336" i="3"/>
  <c r="E272" i="3"/>
  <c r="E240" i="3"/>
  <c r="E208" i="3"/>
  <c r="E48" i="3"/>
  <c r="E16" i="3"/>
  <c r="E143" i="3"/>
  <c r="E111" i="3"/>
  <c r="E79" i="3"/>
  <c r="E47" i="3"/>
  <c r="E15" i="3"/>
  <c r="E399" i="3"/>
  <c r="D484" i="3"/>
  <c r="D452" i="3"/>
  <c r="D356" i="3"/>
  <c r="D324" i="3"/>
  <c r="D292" i="3"/>
  <c r="D260" i="3"/>
  <c r="D228" i="3"/>
  <c r="D164" i="3"/>
  <c r="D4" i="3"/>
  <c r="E494" i="3"/>
  <c r="E462" i="3"/>
  <c r="E366" i="3"/>
  <c r="E334" i="3"/>
  <c r="E302" i="3"/>
  <c r="E238" i="3"/>
  <c r="E174" i="3"/>
  <c r="E142" i="3"/>
  <c r="E110" i="3"/>
  <c r="E46" i="3"/>
  <c r="D515" i="3"/>
  <c r="D483" i="3"/>
  <c r="D451" i="3"/>
  <c r="D419" i="3"/>
  <c r="D355" i="3"/>
  <c r="D291" i="3"/>
  <c r="D259" i="3"/>
  <c r="D163" i="3"/>
  <c r="D99" i="3"/>
  <c r="E461" i="3"/>
  <c r="E429" i="3"/>
  <c r="E365" i="3"/>
  <c r="E301" i="3"/>
  <c r="E237" i="3"/>
  <c r="E205" i="3"/>
  <c r="E141" i="3"/>
  <c r="E109" i="3"/>
  <c r="E77" i="3"/>
  <c r="E13" i="3"/>
  <c r="D514" i="3"/>
  <c r="D386" i="3"/>
  <c r="D354" i="3"/>
  <c r="D258" i="3"/>
  <c r="D194" i="3"/>
  <c r="D162" i="3"/>
  <c r="D130" i="3"/>
  <c r="D34" i="3"/>
  <c r="E428" i="3"/>
  <c r="E364" i="3"/>
  <c r="E268" i="3"/>
  <c r="E236" i="3"/>
  <c r="E204" i="3"/>
  <c r="E172" i="3"/>
  <c r="E76" i="3"/>
  <c r="E44" i="3"/>
  <c r="E395" i="3"/>
  <c r="E299" i="3"/>
  <c r="E267" i="3"/>
  <c r="E203" i="3"/>
  <c r="E171" i="3"/>
  <c r="E139" i="3"/>
  <c r="E107" i="3"/>
  <c r="E43" i="3"/>
  <c r="E11" i="3"/>
  <c r="D512" i="3"/>
  <c r="D480" i="3"/>
  <c r="D384" i="3"/>
  <c r="D352" i="3"/>
  <c r="D320" i="3"/>
  <c r="D288" i="3"/>
  <c r="D160" i="3"/>
  <c r="D128" i="3"/>
  <c r="D96" i="3"/>
  <c r="D64" i="3"/>
  <c r="D32" i="3"/>
  <c r="E490" i="3"/>
  <c r="E362" i="3"/>
  <c r="E298" i="3"/>
  <c r="E266" i="3"/>
  <c r="E234" i="3"/>
  <c r="E202" i="3"/>
  <c r="E106" i="3"/>
  <c r="E74" i="3"/>
  <c r="E42" i="3"/>
  <c r="E10" i="3"/>
  <c r="D511" i="3"/>
  <c r="D479" i="3"/>
  <c r="D447" i="3"/>
  <c r="D415" i="3"/>
  <c r="D287" i="3"/>
  <c r="D159" i="3"/>
  <c r="D127" i="3"/>
  <c r="E457" i="3"/>
  <c r="E425" i="3"/>
  <c r="E393" i="3"/>
  <c r="E329" i="3"/>
  <c r="E233" i="3"/>
  <c r="E169" i="3"/>
  <c r="E137" i="3"/>
  <c r="E73" i="3"/>
  <c r="E41" i="3"/>
  <c r="D158" i="3"/>
  <c r="D126" i="3"/>
  <c r="E520" i="3"/>
  <c r="E488" i="3"/>
  <c r="E456" i="3"/>
  <c r="E424" i="3"/>
  <c r="E392" i="3"/>
  <c r="E360" i="3"/>
  <c r="E296" i="3"/>
  <c r="E264" i="3"/>
  <c r="E200" i="3"/>
  <c r="E72" i="3"/>
  <c r="E8" i="3"/>
  <c r="D161" i="3"/>
  <c r="D446" i="3"/>
  <c r="D286" i="3"/>
  <c r="D254" i="3"/>
  <c r="D222" i="3"/>
  <c r="D509" i="3"/>
  <c r="D445" i="3"/>
  <c r="D413" i="3"/>
  <c r="D381" i="3"/>
  <c r="D349" i="3"/>
  <c r="D317" i="3"/>
  <c r="D285" i="3"/>
  <c r="D221" i="3"/>
  <c r="D157" i="3"/>
  <c r="D93" i="3"/>
  <c r="D61" i="3"/>
  <c r="D29" i="3"/>
  <c r="E519" i="3"/>
  <c r="E455" i="3"/>
  <c r="E327" i="3"/>
  <c r="E295" i="3"/>
  <c r="E263" i="3"/>
  <c r="E231" i="3"/>
  <c r="E103" i="3"/>
  <c r="E39" i="3"/>
  <c r="E7" i="3"/>
  <c r="D444" i="3"/>
  <c r="D412" i="3"/>
  <c r="D348" i="3"/>
  <c r="D316" i="3"/>
  <c r="D188" i="3"/>
  <c r="D156" i="3"/>
  <c r="D92" i="3"/>
  <c r="D60" i="3"/>
  <c r="E518" i="3"/>
  <c r="E422" i="3"/>
  <c r="E390" i="3"/>
  <c r="E358" i="3"/>
  <c r="E230" i="3"/>
  <c r="E198" i="3"/>
  <c r="E166" i="3"/>
  <c r="E134" i="3"/>
  <c r="E102" i="3"/>
  <c r="E70" i="3"/>
  <c r="E38" i="3"/>
  <c r="E6" i="3"/>
  <c r="D475" i="3"/>
  <c r="D443" i="3"/>
  <c r="D347" i="3"/>
  <c r="D315" i="3"/>
  <c r="D251" i="3"/>
  <c r="D187" i="3"/>
  <c r="D123" i="3"/>
  <c r="D91" i="3"/>
  <c r="E517" i="3"/>
  <c r="E453" i="3"/>
  <c r="E421" i="3"/>
  <c r="E325" i="3"/>
  <c r="E293" i="3"/>
  <c r="E261" i="3"/>
  <c r="E197" i="3"/>
  <c r="E133" i="3"/>
  <c r="E101" i="3"/>
  <c r="E37" i="3"/>
  <c r="E5" i="3"/>
  <c r="D506" i="3"/>
  <c r="D474" i="3"/>
  <c r="D378" i="3"/>
  <c r="D346" i="3"/>
  <c r="D282" i="3"/>
  <c r="D250" i="3"/>
  <c r="D218" i="3"/>
  <c r="D186" i="3"/>
  <c r="D122" i="3"/>
  <c r="D26" i="3"/>
  <c r="E388" i="3"/>
  <c r="E292" i="3"/>
  <c r="E228" i="3"/>
  <c r="E196" i="3"/>
  <c r="E132" i="3"/>
  <c r="E68" i="3"/>
  <c r="E36" i="3"/>
  <c r="E4" i="3"/>
  <c r="D505" i="3"/>
  <c r="D409" i="3"/>
  <c r="D281" i="3"/>
  <c r="D249" i="3"/>
  <c r="D217" i="3"/>
  <c r="D153" i="3"/>
  <c r="D121" i="3"/>
  <c r="E419" i="3"/>
  <c r="E323" i="3"/>
  <c r="E291" i="3"/>
  <c r="E227" i="3"/>
  <c r="E99" i="3"/>
  <c r="E3" i="3"/>
  <c r="E482" i="3"/>
  <c r="E450" i="3"/>
  <c r="E418" i="3"/>
  <c r="E290" i="3"/>
  <c r="E98" i="3"/>
  <c r="E66" i="3"/>
</calcChain>
</file>

<file path=xl/sharedStrings.xml><?xml version="1.0" encoding="utf-8"?>
<sst xmlns="http://schemas.openxmlformats.org/spreadsheetml/2006/main" count="1180" uniqueCount="227">
  <si>
    <t>PRODUK</t>
  </si>
  <si>
    <t>TK1401</t>
  </si>
  <si>
    <t>TK1403</t>
  </si>
  <si>
    <t>TK1608</t>
  </si>
  <si>
    <t>TK1609</t>
  </si>
  <si>
    <t>TK4909</t>
  </si>
  <si>
    <t>TK5030</t>
  </si>
  <si>
    <t>TK5037</t>
  </si>
  <si>
    <t>TK5041</t>
  </si>
  <si>
    <t>TK5047</t>
  </si>
  <si>
    <t>TK5063A</t>
  </si>
  <si>
    <t>TK5069</t>
  </si>
  <si>
    <t>TK5070</t>
  </si>
  <si>
    <t>TK5071-1</t>
  </si>
  <si>
    <t>TK5071-2</t>
  </si>
  <si>
    <t>TK5072-1</t>
  </si>
  <si>
    <t>TK5072-2</t>
  </si>
  <si>
    <t>TK5081A</t>
  </si>
  <si>
    <t>TK5082</t>
  </si>
  <si>
    <t>TK5091</t>
  </si>
  <si>
    <t>TK5091A</t>
  </si>
  <si>
    <t>TK5092B</t>
  </si>
  <si>
    <t>TK5125</t>
  </si>
  <si>
    <t>TK5130</t>
  </si>
  <si>
    <t>TK5132</t>
  </si>
  <si>
    <t>TK5138</t>
  </si>
  <si>
    <t>TK5163</t>
  </si>
  <si>
    <t>TK5210</t>
  </si>
  <si>
    <t>TK5220</t>
  </si>
  <si>
    <t>TK5221</t>
  </si>
  <si>
    <t>TK5222</t>
  </si>
  <si>
    <t>TK5241</t>
  </si>
  <si>
    <t>KN0010</t>
  </si>
  <si>
    <t>KN0011</t>
  </si>
  <si>
    <t>KN0012</t>
  </si>
  <si>
    <t>KN0013</t>
  </si>
  <si>
    <t>KN0014</t>
  </si>
  <si>
    <t>KN0016</t>
  </si>
  <si>
    <t>KN0017</t>
  </si>
  <si>
    <t>KN0018</t>
  </si>
  <si>
    <t>KN0019</t>
  </si>
  <si>
    <t>KN0020</t>
  </si>
  <si>
    <t>KN0021</t>
  </si>
  <si>
    <t>KN0022</t>
  </si>
  <si>
    <t>KN0023</t>
  </si>
  <si>
    <t>KN0024</t>
  </si>
  <si>
    <t>KN0025</t>
  </si>
  <si>
    <t>KN0026</t>
  </si>
  <si>
    <t>KN0027</t>
  </si>
  <si>
    <t>KN0028</t>
  </si>
  <si>
    <t>KN0029</t>
  </si>
  <si>
    <t>KN0031</t>
  </si>
  <si>
    <t>KN0032</t>
  </si>
  <si>
    <t>KN0033</t>
  </si>
  <si>
    <t>KN0034AR</t>
  </si>
  <si>
    <t>KN0034BR</t>
  </si>
  <si>
    <t>KN0035</t>
  </si>
  <si>
    <t>KN0036</t>
  </si>
  <si>
    <t>KN0038</t>
  </si>
  <si>
    <t>KN0039-1 RH</t>
  </si>
  <si>
    <t>KN0039-2 LH</t>
  </si>
  <si>
    <t>KN0040</t>
  </si>
  <si>
    <t>KN0041</t>
  </si>
  <si>
    <t>KN0042</t>
  </si>
  <si>
    <t>KN0043</t>
  </si>
  <si>
    <t>KN0045</t>
  </si>
  <si>
    <t>KN0046</t>
  </si>
  <si>
    <t>KN0047</t>
  </si>
  <si>
    <t>KN0048</t>
  </si>
  <si>
    <t>KN0049</t>
  </si>
  <si>
    <t>KN0050</t>
  </si>
  <si>
    <t>KN0051</t>
  </si>
  <si>
    <t>KN0052</t>
  </si>
  <si>
    <t>KN0053</t>
  </si>
  <si>
    <t>KN0054</t>
  </si>
  <si>
    <t>KN0055</t>
  </si>
  <si>
    <t>KN0056RH</t>
  </si>
  <si>
    <t>KN0056LH</t>
  </si>
  <si>
    <t>KN0057</t>
  </si>
  <si>
    <t>KN0058</t>
  </si>
  <si>
    <t>KN0059R</t>
  </si>
  <si>
    <t>KN0060</t>
  </si>
  <si>
    <t>KN0061</t>
  </si>
  <si>
    <t>KN0062</t>
  </si>
  <si>
    <t>KN0063-1</t>
  </si>
  <si>
    <t>KN0063-2</t>
  </si>
  <si>
    <t>KN0064</t>
  </si>
  <si>
    <t>KN0065</t>
  </si>
  <si>
    <t>KN0066-1</t>
  </si>
  <si>
    <t>KN0066-2</t>
  </si>
  <si>
    <t>KN0067</t>
  </si>
  <si>
    <t>KN0068</t>
  </si>
  <si>
    <t>KN0069</t>
  </si>
  <si>
    <t>KN0070-1</t>
  </si>
  <si>
    <t>KN0070-2</t>
  </si>
  <si>
    <t>KN0071</t>
  </si>
  <si>
    <t>KN0072</t>
  </si>
  <si>
    <t>KN0073</t>
  </si>
  <si>
    <t>KN0074</t>
  </si>
  <si>
    <t>KN0075</t>
  </si>
  <si>
    <t>KN0076</t>
  </si>
  <si>
    <t>KN0077</t>
  </si>
  <si>
    <t>KN0078RH</t>
  </si>
  <si>
    <t>KN0078LH</t>
  </si>
  <si>
    <t>KN0079</t>
  </si>
  <si>
    <t>KN0080</t>
  </si>
  <si>
    <t>KN0081A</t>
  </si>
  <si>
    <t>KN0081B</t>
  </si>
  <si>
    <t>KN0082</t>
  </si>
  <si>
    <t>KN0083</t>
  </si>
  <si>
    <t>KN0084</t>
  </si>
  <si>
    <t>KN0085</t>
  </si>
  <si>
    <t>KN0086</t>
  </si>
  <si>
    <t>KN0087</t>
  </si>
  <si>
    <t>KN0088</t>
  </si>
  <si>
    <t>KN0089</t>
  </si>
  <si>
    <t>KN0090</t>
  </si>
  <si>
    <t>IMPROVEMENT</t>
  </si>
  <si>
    <t>REWORK</t>
  </si>
  <si>
    <t>JENIS PEKERJAAN</t>
  </si>
  <si>
    <t>PRESS</t>
  </si>
  <si>
    <t>SANDER</t>
  </si>
  <si>
    <t>SANDER AS</t>
  </si>
  <si>
    <t>SANDER &amp; WASHER</t>
  </si>
  <si>
    <t>CHAMFER</t>
  </si>
  <si>
    <t>CHAMFER 45</t>
  </si>
  <si>
    <t>CHAMFER 25</t>
  </si>
  <si>
    <t>CHAMFER 9</t>
  </si>
  <si>
    <t>CHAMFER 10</t>
  </si>
  <si>
    <t>CHAMFER 12</t>
  </si>
  <si>
    <t>CHAMFER 22</t>
  </si>
  <si>
    <t>CHAMFER OD</t>
  </si>
  <si>
    <t>CHAMFER ID</t>
  </si>
  <si>
    <t>CHAMFER OVAL</t>
  </si>
  <si>
    <t>CHAMFER &amp; RESTRIKE</t>
  </si>
  <si>
    <t>BUBUT</t>
  </si>
  <si>
    <t>BUBUT STEP 1</t>
  </si>
  <si>
    <t>BUBUT STEP 2</t>
  </si>
  <si>
    <t>BRUSH</t>
  </si>
  <si>
    <t>BENDING</t>
  </si>
  <si>
    <t>BENDING-1</t>
  </si>
  <si>
    <t>BENDING-2</t>
  </si>
  <si>
    <t>SHAVING</t>
  </si>
  <si>
    <t>DABO + SHAVING</t>
  </si>
  <si>
    <t>DEBURRING</t>
  </si>
  <si>
    <t>DEBURRING T-SLOT</t>
  </si>
  <si>
    <t>FORMING</t>
  </si>
  <si>
    <t>HOLE CHAMFER</t>
  </si>
  <si>
    <t>MILLING</t>
  </si>
  <si>
    <t>FACING</t>
  </si>
  <si>
    <t>FACING 95</t>
  </si>
  <si>
    <t>FACING CHAMFER</t>
  </si>
  <si>
    <t>FACING CHAMFER OD</t>
  </si>
  <si>
    <t>FACING CHAMFER THREAD</t>
  </si>
  <si>
    <t>COINING</t>
  </si>
  <si>
    <t>COINING + CHAMFER</t>
  </si>
  <si>
    <t>ROTARY</t>
  </si>
  <si>
    <t>PIERCING</t>
  </si>
  <si>
    <t>PIERCING-1</t>
  </si>
  <si>
    <t>PIERCING-2</t>
  </si>
  <si>
    <t>WELDING</t>
  </si>
  <si>
    <t>WELDING NUT</t>
  </si>
  <si>
    <t>WELDING SPACER</t>
  </si>
  <si>
    <t>LEVELLING</t>
  </si>
  <si>
    <t>DRILL</t>
  </si>
  <si>
    <t>TAP</t>
  </si>
  <si>
    <t>TAPPING</t>
  </si>
  <si>
    <t>GEDUK</t>
  </si>
  <si>
    <t>WASHER</t>
  </si>
  <si>
    <t>WASHER-2</t>
  </si>
  <si>
    <t>ANTIRUST</t>
  </si>
  <si>
    <t>SIKAT SPATTER</t>
  </si>
  <si>
    <t>BARREL</t>
  </si>
  <si>
    <t>KENSA</t>
  </si>
  <si>
    <t>DRAWING</t>
  </si>
  <si>
    <t>TRIMMING 1</t>
  </si>
  <si>
    <t>TRIMMING 2</t>
  </si>
  <si>
    <t>FLANGE DOWN</t>
  </si>
  <si>
    <t>PRC</t>
  </si>
  <si>
    <t>EMBOS &amp; MARKING</t>
  </si>
  <si>
    <t>PRC HOLE</t>
  </si>
  <si>
    <t>NOTCHING</t>
  </si>
  <si>
    <t>CUTTING SIDE</t>
  </si>
  <si>
    <t>5R</t>
  </si>
  <si>
    <t>CORNER</t>
  </si>
  <si>
    <t>SURFACE</t>
  </si>
  <si>
    <t>SURFACE GRINDING</t>
  </si>
  <si>
    <t>PRESS PIN DOWEL</t>
  </si>
  <si>
    <t>ROUGHING</t>
  </si>
  <si>
    <t>FINISHING</t>
  </si>
  <si>
    <t>MACHINING</t>
  </si>
  <si>
    <t>GROOVING</t>
  </si>
  <si>
    <t>GRINDING</t>
  </si>
  <si>
    <t>A110T</t>
  </si>
  <si>
    <t>HOLE DIA 10</t>
  </si>
  <si>
    <t>T-SLOT CHAMFER</t>
  </si>
  <si>
    <t>JENIS_PEKERJAAN</t>
  </si>
  <si>
    <t>TARGET</t>
  </si>
  <si>
    <t>A160</t>
  </si>
  <si>
    <t>a160</t>
  </si>
  <si>
    <t>SENDER</t>
  </si>
  <si>
    <t>160a</t>
  </si>
  <si>
    <t>KN0030</t>
  </si>
  <si>
    <t>UL</t>
  </si>
  <si>
    <t>aida160</t>
  </si>
  <si>
    <t>ANTI RUST</t>
  </si>
  <si>
    <t>id</t>
  </si>
  <si>
    <t>fk_produk</t>
  </si>
  <si>
    <t>fk_jenis_pekerjaan</t>
  </si>
  <si>
    <t>CYCLE TIME (menit / pcs)</t>
  </si>
  <si>
    <t>#DIV/0!</t>
  </si>
  <si>
    <t xml:space="preserve">0,06 </t>
  </si>
  <si>
    <t xml:space="preserve">0,11 </t>
  </si>
  <si>
    <t>0,06</t>
  </si>
  <si>
    <t xml:space="preserve">0,05 </t>
  </si>
  <si>
    <t>0,06 menit / pcs</t>
  </si>
  <si>
    <t>0,1 menit / pcs</t>
  </si>
  <si>
    <t>0,05 menit / pcs</t>
  </si>
  <si>
    <t>0,07 menit / pcs</t>
  </si>
  <si>
    <t>0,07 menit/pcs</t>
  </si>
  <si>
    <t>0,06 MENIT/pcs</t>
  </si>
  <si>
    <t>#VALUE!</t>
  </si>
  <si>
    <t>0,11 menit/pcs</t>
  </si>
  <si>
    <t>0,11 menit / pcs</t>
  </si>
  <si>
    <t>0,08 menit / pcs</t>
  </si>
  <si>
    <t>target rotary 1000 pcs</t>
  </si>
  <si>
    <t xml:space="preserve">PEMBULATAN CYCLE TIME (menit / pcs)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</si>
</sst>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left"/>
    </xf>
    <xf numFmtId="0" fontId="19" fillId="33" borderId="10" xfId="42" applyFont="1" applyFill="1" applyBorder="1" applyAlignment="1">
      <alignment horizontal="center"/>
    </xf>
    <xf numFmtId="0" fontId="20" fillId="0" borderId="10" xfId="42" applyFont="1" applyBorder="1" applyAlignment="1">
      <alignment horizontal="center"/>
    </xf>
    <xf numFmtId="0" fontId="2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2FDD973-96E8-42A1-B687-2F0BC169746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45CDD24D-D630-4EF8-94A2-84F53BE17BE7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C91E-557D-4B7F-9065-EDA0AD200F7F}">
  <dimension ref="A1:B119"/>
  <sheetViews>
    <sheetView workbookViewId="0">
      <selection activeCell="A2" sqref="A2"/>
    </sheetView>
  </sheetViews>
  <sheetFormatPr defaultRowHeight="14.5" x14ac:dyDescent="0.35"/>
  <cols>
    <col min="1" max="1" width="31.54296875" customWidth="1"/>
    <col min="2" max="2" width="24.7265625" style="2" customWidth="1"/>
  </cols>
  <sheetData>
    <row r="1" spans="1:2" s="1" customFormat="1" x14ac:dyDescent="0.35">
      <c r="A1" s="4" t="s">
        <v>206</v>
      </c>
      <c r="B1" s="5" t="s">
        <v>0</v>
      </c>
    </row>
    <row r="2" spans="1:2" x14ac:dyDescent="0.35">
      <c r="A2" s="3">
        <f>ROW()-1</f>
        <v>1</v>
      </c>
      <c r="B2" s="2" t="s">
        <v>1</v>
      </c>
    </row>
    <row r="3" spans="1:2" x14ac:dyDescent="0.35">
      <c r="A3" s="3">
        <f t="shared" ref="A3:A66" si="0">ROW()-1</f>
        <v>2</v>
      </c>
      <c r="B3" s="2" t="s">
        <v>2</v>
      </c>
    </row>
    <row r="4" spans="1:2" x14ac:dyDescent="0.35">
      <c r="A4" s="3">
        <f t="shared" si="0"/>
        <v>3</v>
      </c>
      <c r="B4" s="2" t="s">
        <v>3</v>
      </c>
    </row>
    <row r="5" spans="1:2" x14ac:dyDescent="0.35">
      <c r="A5" s="3">
        <f t="shared" si="0"/>
        <v>4</v>
      </c>
      <c r="B5" s="2" t="s">
        <v>4</v>
      </c>
    </row>
    <row r="6" spans="1:2" x14ac:dyDescent="0.35">
      <c r="A6" s="3">
        <f t="shared" si="0"/>
        <v>5</v>
      </c>
      <c r="B6" s="2" t="s">
        <v>5</v>
      </c>
    </row>
    <row r="7" spans="1:2" x14ac:dyDescent="0.35">
      <c r="A7" s="3">
        <f t="shared" si="0"/>
        <v>6</v>
      </c>
      <c r="B7" s="2" t="s">
        <v>6</v>
      </c>
    </row>
    <row r="8" spans="1:2" x14ac:dyDescent="0.35">
      <c r="A8" s="3">
        <f t="shared" si="0"/>
        <v>7</v>
      </c>
      <c r="B8" s="2" t="s">
        <v>7</v>
      </c>
    </row>
    <row r="9" spans="1:2" x14ac:dyDescent="0.35">
      <c r="A9" s="3">
        <f t="shared" si="0"/>
        <v>8</v>
      </c>
      <c r="B9" s="2" t="s">
        <v>8</v>
      </c>
    </row>
    <row r="10" spans="1:2" x14ac:dyDescent="0.35">
      <c r="A10" s="3">
        <f t="shared" si="0"/>
        <v>9</v>
      </c>
      <c r="B10" s="2" t="s">
        <v>9</v>
      </c>
    </row>
    <row r="11" spans="1:2" x14ac:dyDescent="0.35">
      <c r="A11" s="3">
        <f t="shared" si="0"/>
        <v>10</v>
      </c>
      <c r="B11" s="2" t="s">
        <v>10</v>
      </c>
    </row>
    <row r="12" spans="1:2" x14ac:dyDescent="0.35">
      <c r="A12" s="3">
        <f t="shared" si="0"/>
        <v>11</v>
      </c>
      <c r="B12" s="2" t="s">
        <v>11</v>
      </c>
    </row>
    <row r="13" spans="1:2" x14ac:dyDescent="0.35">
      <c r="A13" s="3">
        <f t="shared" si="0"/>
        <v>12</v>
      </c>
      <c r="B13" s="2" t="s">
        <v>12</v>
      </c>
    </row>
    <row r="14" spans="1:2" x14ac:dyDescent="0.35">
      <c r="A14" s="3">
        <f t="shared" si="0"/>
        <v>13</v>
      </c>
      <c r="B14" s="2" t="s">
        <v>13</v>
      </c>
    </row>
    <row r="15" spans="1:2" x14ac:dyDescent="0.35">
      <c r="A15" s="3">
        <f t="shared" si="0"/>
        <v>14</v>
      </c>
      <c r="B15" s="2" t="s">
        <v>14</v>
      </c>
    </row>
    <row r="16" spans="1:2" x14ac:dyDescent="0.35">
      <c r="A16" s="3">
        <f t="shared" si="0"/>
        <v>15</v>
      </c>
      <c r="B16" s="2" t="s">
        <v>15</v>
      </c>
    </row>
    <row r="17" spans="1:2" x14ac:dyDescent="0.35">
      <c r="A17" s="3">
        <f t="shared" si="0"/>
        <v>16</v>
      </c>
      <c r="B17" s="2" t="s">
        <v>16</v>
      </c>
    </row>
    <row r="18" spans="1:2" x14ac:dyDescent="0.35">
      <c r="A18" s="3">
        <f t="shared" si="0"/>
        <v>17</v>
      </c>
      <c r="B18" s="2" t="s">
        <v>17</v>
      </c>
    </row>
    <row r="19" spans="1:2" x14ac:dyDescent="0.35">
      <c r="A19" s="3">
        <f t="shared" si="0"/>
        <v>18</v>
      </c>
      <c r="B19" s="2" t="s">
        <v>18</v>
      </c>
    </row>
    <row r="20" spans="1:2" x14ac:dyDescent="0.35">
      <c r="A20" s="3">
        <f t="shared" si="0"/>
        <v>19</v>
      </c>
      <c r="B20" s="2" t="s">
        <v>19</v>
      </c>
    </row>
    <row r="21" spans="1:2" x14ac:dyDescent="0.35">
      <c r="A21" s="3">
        <f t="shared" si="0"/>
        <v>20</v>
      </c>
      <c r="B21" s="2" t="s">
        <v>20</v>
      </c>
    </row>
    <row r="22" spans="1:2" x14ac:dyDescent="0.35">
      <c r="A22" s="3">
        <f t="shared" si="0"/>
        <v>21</v>
      </c>
      <c r="B22" s="2" t="s">
        <v>21</v>
      </c>
    </row>
    <row r="23" spans="1:2" x14ac:dyDescent="0.35">
      <c r="A23" s="3">
        <f t="shared" si="0"/>
        <v>22</v>
      </c>
      <c r="B23" s="2" t="s">
        <v>22</v>
      </c>
    </row>
    <row r="24" spans="1:2" x14ac:dyDescent="0.35">
      <c r="A24" s="3">
        <f t="shared" si="0"/>
        <v>23</v>
      </c>
      <c r="B24" s="2" t="s">
        <v>23</v>
      </c>
    </row>
    <row r="25" spans="1:2" x14ac:dyDescent="0.35">
      <c r="A25" s="3">
        <f t="shared" si="0"/>
        <v>24</v>
      </c>
      <c r="B25" s="2" t="s">
        <v>24</v>
      </c>
    </row>
    <row r="26" spans="1:2" x14ac:dyDescent="0.35">
      <c r="A26" s="3">
        <f t="shared" si="0"/>
        <v>25</v>
      </c>
      <c r="B26" s="2" t="s">
        <v>25</v>
      </c>
    </row>
    <row r="27" spans="1:2" x14ac:dyDescent="0.35">
      <c r="A27" s="3">
        <f t="shared" si="0"/>
        <v>26</v>
      </c>
      <c r="B27" s="2" t="s">
        <v>26</v>
      </c>
    </row>
    <row r="28" spans="1:2" x14ac:dyDescent="0.35">
      <c r="A28" s="3">
        <f t="shared" si="0"/>
        <v>27</v>
      </c>
      <c r="B28" s="2" t="s">
        <v>27</v>
      </c>
    </row>
    <row r="29" spans="1:2" x14ac:dyDescent="0.35">
      <c r="A29" s="3">
        <f t="shared" si="0"/>
        <v>28</v>
      </c>
      <c r="B29" s="2" t="s">
        <v>28</v>
      </c>
    </row>
    <row r="30" spans="1:2" x14ac:dyDescent="0.35">
      <c r="A30" s="3">
        <f t="shared" si="0"/>
        <v>29</v>
      </c>
      <c r="B30" s="2" t="s">
        <v>29</v>
      </c>
    </row>
    <row r="31" spans="1:2" x14ac:dyDescent="0.35">
      <c r="A31" s="3">
        <f t="shared" si="0"/>
        <v>30</v>
      </c>
      <c r="B31" s="2" t="s">
        <v>30</v>
      </c>
    </row>
    <row r="32" spans="1:2" x14ac:dyDescent="0.35">
      <c r="A32" s="3">
        <f t="shared" si="0"/>
        <v>31</v>
      </c>
      <c r="B32" s="2" t="s">
        <v>31</v>
      </c>
    </row>
    <row r="33" spans="1:2" x14ac:dyDescent="0.35">
      <c r="A33" s="3">
        <f t="shared" si="0"/>
        <v>32</v>
      </c>
      <c r="B33" s="2" t="s">
        <v>32</v>
      </c>
    </row>
    <row r="34" spans="1:2" x14ac:dyDescent="0.35">
      <c r="A34" s="3">
        <f t="shared" si="0"/>
        <v>33</v>
      </c>
      <c r="B34" s="2" t="s">
        <v>33</v>
      </c>
    </row>
    <row r="35" spans="1:2" x14ac:dyDescent="0.35">
      <c r="A35" s="3">
        <f t="shared" si="0"/>
        <v>34</v>
      </c>
      <c r="B35" s="2" t="s">
        <v>34</v>
      </c>
    </row>
    <row r="36" spans="1:2" x14ac:dyDescent="0.35">
      <c r="A36" s="3">
        <f t="shared" si="0"/>
        <v>35</v>
      </c>
      <c r="B36" s="2" t="s">
        <v>35</v>
      </c>
    </row>
    <row r="37" spans="1:2" x14ac:dyDescent="0.35">
      <c r="A37" s="3">
        <f t="shared" si="0"/>
        <v>36</v>
      </c>
      <c r="B37" s="2" t="s">
        <v>36</v>
      </c>
    </row>
    <row r="38" spans="1:2" x14ac:dyDescent="0.35">
      <c r="A38" s="3">
        <f t="shared" si="0"/>
        <v>37</v>
      </c>
      <c r="B38" s="2" t="s">
        <v>37</v>
      </c>
    </row>
    <row r="39" spans="1:2" x14ac:dyDescent="0.35">
      <c r="A39" s="3">
        <f t="shared" si="0"/>
        <v>38</v>
      </c>
      <c r="B39" s="2" t="s">
        <v>38</v>
      </c>
    </row>
    <row r="40" spans="1:2" x14ac:dyDescent="0.35">
      <c r="A40" s="3">
        <f t="shared" si="0"/>
        <v>39</v>
      </c>
      <c r="B40" s="2" t="s">
        <v>39</v>
      </c>
    </row>
    <row r="41" spans="1:2" x14ac:dyDescent="0.35">
      <c r="A41" s="3">
        <f t="shared" si="0"/>
        <v>40</v>
      </c>
      <c r="B41" s="2" t="s">
        <v>40</v>
      </c>
    </row>
    <row r="42" spans="1:2" x14ac:dyDescent="0.35">
      <c r="A42" s="3">
        <f t="shared" si="0"/>
        <v>41</v>
      </c>
      <c r="B42" s="2" t="s">
        <v>41</v>
      </c>
    </row>
    <row r="43" spans="1:2" x14ac:dyDescent="0.35">
      <c r="A43" s="3">
        <f t="shared" si="0"/>
        <v>42</v>
      </c>
      <c r="B43" s="2" t="s">
        <v>42</v>
      </c>
    </row>
    <row r="44" spans="1:2" x14ac:dyDescent="0.35">
      <c r="A44" s="3">
        <f t="shared" si="0"/>
        <v>43</v>
      </c>
      <c r="B44" s="2" t="s">
        <v>43</v>
      </c>
    </row>
    <row r="45" spans="1:2" x14ac:dyDescent="0.35">
      <c r="A45" s="3">
        <f t="shared" si="0"/>
        <v>44</v>
      </c>
      <c r="B45" s="2" t="s">
        <v>44</v>
      </c>
    </row>
    <row r="46" spans="1:2" x14ac:dyDescent="0.35">
      <c r="A46" s="3">
        <f t="shared" si="0"/>
        <v>45</v>
      </c>
      <c r="B46" s="2" t="s">
        <v>45</v>
      </c>
    </row>
    <row r="47" spans="1:2" x14ac:dyDescent="0.35">
      <c r="A47" s="3">
        <f t="shared" si="0"/>
        <v>46</v>
      </c>
      <c r="B47" s="2" t="s">
        <v>46</v>
      </c>
    </row>
    <row r="48" spans="1:2" x14ac:dyDescent="0.35">
      <c r="A48" s="3">
        <f t="shared" si="0"/>
        <v>47</v>
      </c>
      <c r="B48" s="2" t="s">
        <v>47</v>
      </c>
    </row>
    <row r="49" spans="1:2" x14ac:dyDescent="0.35">
      <c r="A49" s="3">
        <f t="shared" si="0"/>
        <v>48</v>
      </c>
      <c r="B49" s="2" t="s">
        <v>48</v>
      </c>
    </row>
    <row r="50" spans="1:2" x14ac:dyDescent="0.35">
      <c r="A50" s="3">
        <f t="shared" si="0"/>
        <v>49</v>
      </c>
      <c r="B50" s="2" t="s">
        <v>49</v>
      </c>
    </row>
    <row r="51" spans="1:2" x14ac:dyDescent="0.35">
      <c r="A51" s="3">
        <f t="shared" si="0"/>
        <v>50</v>
      </c>
      <c r="B51" s="2" t="s">
        <v>50</v>
      </c>
    </row>
    <row r="52" spans="1:2" x14ac:dyDescent="0.35">
      <c r="A52" s="3">
        <f t="shared" si="0"/>
        <v>51</v>
      </c>
      <c r="B52" s="2" t="s">
        <v>51</v>
      </c>
    </row>
    <row r="53" spans="1:2" x14ac:dyDescent="0.35">
      <c r="A53" s="3">
        <f t="shared" si="0"/>
        <v>52</v>
      </c>
      <c r="B53" s="2" t="s">
        <v>52</v>
      </c>
    </row>
    <row r="54" spans="1:2" x14ac:dyDescent="0.35">
      <c r="A54" s="3">
        <f t="shared" si="0"/>
        <v>53</v>
      </c>
      <c r="B54" s="2" t="s">
        <v>53</v>
      </c>
    </row>
    <row r="55" spans="1:2" x14ac:dyDescent="0.35">
      <c r="A55" s="3">
        <f t="shared" si="0"/>
        <v>54</v>
      </c>
      <c r="B55" s="2" t="s">
        <v>54</v>
      </c>
    </row>
    <row r="56" spans="1:2" x14ac:dyDescent="0.35">
      <c r="A56" s="3">
        <f t="shared" si="0"/>
        <v>55</v>
      </c>
      <c r="B56" s="2" t="s">
        <v>55</v>
      </c>
    </row>
    <row r="57" spans="1:2" x14ac:dyDescent="0.35">
      <c r="A57" s="3">
        <f t="shared" si="0"/>
        <v>56</v>
      </c>
      <c r="B57" s="2" t="s">
        <v>56</v>
      </c>
    </row>
    <row r="58" spans="1:2" x14ac:dyDescent="0.35">
      <c r="A58" s="3">
        <f t="shared" si="0"/>
        <v>57</v>
      </c>
      <c r="B58" s="2" t="s">
        <v>57</v>
      </c>
    </row>
    <row r="59" spans="1:2" x14ac:dyDescent="0.35">
      <c r="A59" s="3">
        <f t="shared" si="0"/>
        <v>58</v>
      </c>
      <c r="B59" s="2" t="s">
        <v>58</v>
      </c>
    </row>
    <row r="60" spans="1:2" x14ac:dyDescent="0.35">
      <c r="A60" s="3">
        <f t="shared" si="0"/>
        <v>59</v>
      </c>
      <c r="B60" s="2" t="s">
        <v>59</v>
      </c>
    </row>
    <row r="61" spans="1:2" x14ac:dyDescent="0.35">
      <c r="A61" s="3">
        <f t="shared" si="0"/>
        <v>60</v>
      </c>
      <c r="B61" s="2" t="s">
        <v>60</v>
      </c>
    </row>
    <row r="62" spans="1:2" x14ac:dyDescent="0.35">
      <c r="A62" s="3">
        <f t="shared" si="0"/>
        <v>61</v>
      </c>
      <c r="B62" s="2" t="s">
        <v>61</v>
      </c>
    </row>
    <row r="63" spans="1:2" x14ac:dyDescent="0.35">
      <c r="A63" s="3">
        <f t="shared" si="0"/>
        <v>62</v>
      </c>
      <c r="B63" s="2" t="s">
        <v>62</v>
      </c>
    </row>
    <row r="64" spans="1:2" x14ac:dyDescent="0.35">
      <c r="A64" s="3">
        <f t="shared" si="0"/>
        <v>63</v>
      </c>
      <c r="B64" s="2" t="s">
        <v>63</v>
      </c>
    </row>
    <row r="65" spans="1:2" x14ac:dyDescent="0.35">
      <c r="A65" s="3">
        <f t="shared" si="0"/>
        <v>64</v>
      </c>
      <c r="B65" s="2" t="s">
        <v>64</v>
      </c>
    </row>
    <row r="66" spans="1:2" x14ac:dyDescent="0.35">
      <c r="A66" s="3">
        <f t="shared" si="0"/>
        <v>65</v>
      </c>
      <c r="B66" s="2" t="s">
        <v>65</v>
      </c>
    </row>
    <row r="67" spans="1:2" x14ac:dyDescent="0.35">
      <c r="A67" s="3">
        <f t="shared" ref="A67:A119" si="1">ROW()-1</f>
        <v>66</v>
      </c>
      <c r="B67" s="2" t="s">
        <v>66</v>
      </c>
    </row>
    <row r="68" spans="1:2" x14ac:dyDescent="0.35">
      <c r="A68" s="3">
        <f t="shared" si="1"/>
        <v>67</v>
      </c>
      <c r="B68" s="2" t="s">
        <v>67</v>
      </c>
    </row>
    <row r="69" spans="1:2" x14ac:dyDescent="0.35">
      <c r="A69" s="3">
        <f t="shared" si="1"/>
        <v>68</v>
      </c>
      <c r="B69" s="2" t="s">
        <v>68</v>
      </c>
    </row>
    <row r="70" spans="1:2" x14ac:dyDescent="0.35">
      <c r="A70" s="3">
        <f t="shared" si="1"/>
        <v>69</v>
      </c>
      <c r="B70" s="2" t="s">
        <v>69</v>
      </c>
    </row>
    <row r="71" spans="1:2" x14ac:dyDescent="0.35">
      <c r="A71" s="3">
        <f t="shared" si="1"/>
        <v>70</v>
      </c>
      <c r="B71" s="2" t="s">
        <v>70</v>
      </c>
    </row>
    <row r="72" spans="1:2" x14ac:dyDescent="0.35">
      <c r="A72" s="3">
        <f t="shared" si="1"/>
        <v>71</v>
      </c>
      <c r="B72" s="2" t="s">
        <v>71</v>
      </c>
    </row>
    <row r="73" spans="1:2" x14ac:dyDescent="0.35">
      <c r="A73" s="3">
        <f t="shared" si="1"/>
        <v>72</v>
      </c>
      <c r="B73" s="2" t="s">
        <v>72</v>
      </c>
    </row>
    <row r="74" spans="1:2" x14ac:dyDescent="0.35">
      <c r="A74" s="3">
        <f t="shared" si="1"/>
        <v>73</v>
      </c>
      <c r="B74" s="2" t="s">
        <v>73</v>
      </c>
    </row>
    <row r="75" spans="1:2" x14ac:dyDescent="0.35">
      <c r="A75" s="3">
        <f t="shared" si="1"/>
        <v>74</v>
      </c>
      <c r="B75" s="2" t="s">
        <v>74</v>
      </c>
    </row>
    <row r="76" spans="1:2" x14ac:dyDescent="0.35">
      <c r="A76" s="3">
        <f t="shared" si="1"/>
        <v>75</v>
      </c>
      <c r="B76" s="2" t="s">
        <v>75</v>
      </c>
    </row>
    <row r="77" spans="1:2" x14ac:dyDescent="0.35">
      <c r="A77" s="3">
        <f t="shared" si="1"/>
        <v>76</v>
      </c>
      <c r="B77" s="2" t="s">
        <v>76</v>
      </c>
    </row>
    <row r="78" spans="1:2" x14ac:dyDescent="0.35">
      <c r="A78" s="3">
        <f t="shared" si="1"/>
        <v>77</v>
      </c>
      <c r="B78" s="2" t="s">
        <v>77</v>
      </c>
    </row>
    <row r="79" spans="1:2" x14ac:dyDescent="0.35">
      <c r="A79" s="3">
        <f t="shared" si="1"/>
        <v>78</v>
      </c>
      <c r="B79" s="2" t="s">
        <v>78</v>
      </c>
    </row>
    <row r="80" spans="1:2" x14ac:dyDescent="0.35">
      <c r="A80" s="3">
        <f t="shared" si="1"/>
        <v>79</v>
      </c>
      <c r="B80" s="2" t="s">
        <v>79</v>
      </c>
    </row>
    <row r="81" spans="1:2" x14ac:dyDescent="0.35">
      <c r="A81" s="3">
        <f t="shared" si="1"/>
        <v>80</v>
      </c>
      <c r="B81" s="2" t="s">
        <v>80</v>
      </c>
    </row>
    <row r="82" spans="1:2" x14ac:dyDescent="0.35">
      <c r="A82" s="3">
        <f t="shared" si="1"/>
        <v>81</v>
      </c>
      <c r="B82" s="2" t="s">
        <v>81</v>
      </c>
    </row>
    <row r="83" spans="1:2" x14ac:dyDescent="0.35">
      <c r="A83" s="3">
        <f t="shared" si="1"/>
        <v>82</v>
      </c>
      <c r="B83" s="2" t="s">
        <v>82</v>
      </c>
    </row>
    <row r="84" spans="1:2" x14ac:dyDescent="0.35">
      <c r="A84" s="3">
        <f t="shared" si="1"/>
        <v>83</v>
      </c>
      <c r="B84" s="2" t="s">
        <v>83</v>
      </c>
    </row>
    <row r="85" spans="1:2" x14ac:dyDescent="0.35">
      <c r="A85" s="3">
        <f t="shared" si="1"/>
        <v>84</v>
      </c>
      <c r="B85" s="2" t="s">
        <v>84</v>
      </c>
    </row>
    <row r="86" spans="1:2" x14ac:dyDescent="0.35">
      <c r="A86" s="3">
        <f t="shared" si="1"/>
        <v>85</v>
      </c>
      <c r="B86" s="2" t="s">
        <v>85</v>
      </c>
    </row>
    <row r="87" spans="1:2" x14ac:dyDescent="0.35">
      <c r="A87" s="3">
        <f t="shared" si="1"/>
        <v>86</v>
      </c>
      <c r="B87" s="2" t="s">
        <v>86</v>
      </c>
    </row>
    <row r="88" spans="1:2" x14ac:dyDescent="0.35">
      <c r="A88" s="3">
        <f t="shared" si="1"/>
        <v>87</v>
      </c>
      <c r="B88" s="2" t="s">
        <v>87</v>
      </c>
    </row>
    <row r="89" spans="1:2" x14ac:dyDescent="0.35">
      <c r="A89" s="3">
        <f t="shared" si="1"/>
        <v>88</v>
      </c>
      <c r="B89" s="2" t="s">
        <v>88</v>
      </c>
    </row>
    <row r="90" spans="1:2" x14ac:dyDescent="0.35">
      <c r="A90" s="3">
        <f t="shared" si="1"/>
        <v>89</v>
      </c>
      <c r="B90" s="2" t="s">
        <v>89</v>
      </c>
    </row>
    <row r="91" spans="1:2" x14ac:dyDescent="0.35">
      <c r="A91" s="3">
        <f t="shared" si="1"/>
        <v>90</v>
      </c>
      <c r="B91" s="2" t="s">
        <v>90</v>
      </c>
    </row>
    <row r="92" spans="1:2" x14ac:dyDescent="0.35">
      <c r="A92" s="3">
        <f t="shared" si="1"/>
        <v>91</v>
      </c>
      <c r="B92" s="2" t="s">
        <v>91</v>
      </c>
    </row>
    <row r="93" spans="1:2" x14ac:dyDescent="0.35">
      <c r="A93" s="3">
        <f t="shared" si="1"/>
        <v>92</v>
      </c>
      <c r="B93" s="2" t="s">
        <v>92</v>
      </c>
    </row>
    <row r="94" spans="1:2" x14ac:dyDescent="0.35">
      <c r="A94" s="3">
        <f t="shared" si="1"/>
        <v>93</v>
      </c>
      <c r="B94" s="2" t="s">
        <v>93</v>
      </c>
    </row>
    <row r="95" spans="1:2" x14ac:dyDescent="0.35">
      <c r="A95" s="3">
        <f t="shared" si="1"/>
        <v>94</v>
      </c>
      <c r="B95" s="2" t="s">
        <v>94</v>
      </c>
    </row>
    <row r="96" spans="1:2" x14ac:dyDescent="0.35">
      <c r="A96" s="3">
        <f t="shared" si="1"/>
        <v>95</v>
      </c>
      <c r="B96" s="2" t="s">
        <v>95</v>
      </c>
    </row>
    <row r="97" spans="1:2" x14ac:dyDescent="0.35">
      <c r="A97" s="3">
        <f t="shared" si="1"/>
        <v>96</v>
      </c>
      <c r="B97" s="2" t="s">
        <v>96</v>
      </c>
    </row>
    <row r="98" spans="1:2" x14ac:dyDescent="0.35">
      <c r="A98" s="3">
        <f t="shared" si="1"/>
        <v>97</v>
      </c>
      <c r="B98" s="2" t="s">
        <v>97</v>
      </c>
    </row>
    <row r="99" spans="1:2" x14ac:dyDescent="0.35">
      <c r="A99" s="3">
        <f t="shared" si="1"/>
        <v>98</v>
      </c>
      <c r="B99" s="2" t="s">
        <v>98</v>
      </c>
    </row>
    <row r="100" spans="1:2" x14ac:dyDescent="0.35">
      <c r="A100" s="3">
        <f t="shared" si="1"/>
        <v>99</v>
      </c>
      <c r="B100" s="2" t="s">
        <v>99</v>
      </c>
    </row>
    <row r="101" spans="1:2" x14ac:dyDescent="0.35">
      <c r="A101" s="3">
        <f t="shared" si="1"/>
        <v>100</v>
      </c>
      <c r="B101" s="2" t="s">
        <v>100</v>
      </c>
    </row>
    <row r="102" spans="1:2" x14ac:dyDescent="0.35">
      <c r="A102" s="3">
        <f t="shared" si="1"/>
        <v>101</v>
      </c>
      <c r="B102" s="2" t="s">
        <v>101</v>
      </c>
    </row>
    <row r="103" spans="1:2" x14ac:dyDescent="0.35">
      <c r="A103" s="3">
        <f t="shared" si="1"/>
        <v>102</v>
      </c>
      <c r="B103" s="2" t="s">
        <v>102</v>
      </c>
    </row>
    <row r="104" spans="1:2" x14ac:dyDescent="0.35">
      <c r="A104" s="3">
        <f t="shared" si="1"/>
        <v>103</v>
      </c>
      <c r="B104" s="2" t="s">
        <v>103</v>
      </c>
    </row>
    <row r="105" spans="1:2" x14ac:dyDescent="0.35">
      <c r="A105" s="3">
        <f t="shared" si="1"/>
        <v>104</v>
      </c>
      <c r="B105" s="2" t="s">
        <v>104</v>
      </c>
    </row>
    <row r="106" spans="1:2" x14ac:dyDescent="0.35">
      <c r="A106" s="3">
        <f t="shared" si="1"/>
        <v>105</v>
      </c>
      <c r="B106" s="2" t="s">
        <v>105</v>
      </c>
    </row>
    <row r="107" spans="1:2" x14ac:dyDescent="0.35">
      <c r="A107" s="3">
        <f t="shared" si="1"/>
        <v>106</v>
      </c>
      <c r="B107" s="2" t="s">
        <v>106</v>
      </c>
    </row>
    <row r="108" spans="1:2" x14ac:dyDescent="0.35">
      <c r="A108" s="3">
        <f t="shared" si="1"/>
        <v>107</v>
      </c>
      <c r="B108" s="2" t="s">
        <v>107</v>
      </c>
    </row>
    <row r="109" spans="1:2" x14ac:dyDescent="0.35">
      <c r="A109" s="3">
        <f t="shared" si="1"/>
        <v>108</v>
      </c>
      <c r="B109" s="2" t="s">
        <v>108</v>
      </c>
    </row>
    <row r="110" spans="1:2" x14ac:dyDescent="0.35">
      <c r="A110" s="3">
        <f t="shared" si="1"/>
        <v>109</v>
      </c>
      <c r="B110" s="2" t="s">
        <v>109</v>
      </c>
    </row>
    <row r="111" spans="1:2" x14ac:dyDescent="0.35">
      <c r="A111" s="3">
        <f t="shared" si="1"/>
        <v>110</v>
      </c>
      <c r="B111" s="2" t="s">
        <v>110</v>
      </c>
    </row>
    <row r="112" spans="1:2" x14ac:dyDescent="0.35">
      <c r="A112" s="3">
        <f t="shared" si="1"/>
        <v>111</v>
      </c>
      <c r="B112" s="2" t="s">
        <v>111</v>
      </c>
    </row>
    <row r="113" spans="1:2" x14ac:dyDescent="0.35">
      <c r="A113" s="3">
        <f t="shared" si="1"/>
        <v>112</v>
      </c>
      <c r="B113" s="2" t="s">
        <v>112</v>
      </c>
    </row>
    <row r="114" spans="1:2" x14ac:dyDescent="0.35">
      <c r="A114" s="3">
        <f t="shared" si="1"/>
        <v>113</v>
      </c>
      <c r="B114" s="2" t="s">
        <v>113</v>
      </c>
    </row>
    <row r="115" spans="1:2" x14ac:dyDescent="0.35">
      <c r="A115" s="3">
        <f t="shared" si="1"/>
        <v>114</v>
      </c>
      <c r="B115" s="2" t="s">
        <v>114</v>
      </c>
    </row>
    <row r="116" spans="1:2" x14ac:dyDescent="0.35">
      <c r="A116" s="3">
        <f t="shared" si="1"/>
        <v>115</v>
      </c>
      <c r="B116" s="2" t="s">
        <v>115</v>
      </c>
    </row>
    <row r="117" spans="1:2" x14ac:dyDescent="0.35">
      <c r="A117" s="3">
        <f t="shared" si="1"/>
        <v>116</v>
      </c>
      <c r="B117" s="2" t="s">
        <v>116</v>
      </c>
    </row>
    <row r="118" spans="1:2" x14ac:dyDescent="0.35">
      <c r="A118" s="3">
        <f t="shared" si="1"/>
        <v>117</v>
      </c>
      <c r="B118" s="2" t="s">
        <v>117</v>
      </c>
    </row>
    <row r="119" spans="1:2" x14ac:dyDescent="0.35">
      <c r="A119" s="3">
        <f t="shared" si="1"/>
        <v>118</v>
      </c>
      <c r="B119" s="2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4499-4AD7-4B74-A135-9CE06149A0A2}">
  <dimension ref="A1:B79"/>
  <sheetViews>
    <sheetView workbookViewId="0">
      <selection activeCell="A2" sqref="A2:A79"/>
    </sheetView>
  </sheetViews>
  <sheetFormatPr defaultRowHeight="14.5" x14ac:dyDescent="0.35"/>
  <cols>
    <col min="1" max="1" width="26.26953125" style="3" customWidth="1"/>
    <col min="2" max="2" width="39.26953125" customWidth="1"/>
  </cols>
  <sheetData>
    <row r="1" spans="1:2" x14ac:dyDescent="0.35">
      <c r="A1" s="4" t="s">
        <v>206</v>
      </c>
      <c r="B1" s="1" t="s">
        <v>119</v>
      </c>
    </row>
    <row r="2" spans="1:2" x14ac:dyDescent="0.35">
      <c r="A2" s="3">
        <f>ROW()-1</f>
        <v>1</v>
      </c>
      <c r="B2" t="s">
        <v>120</v>
      </c>
    </row>
    <row r="3" spans="1:2" x14ac:dyDescent="0.35">
      <c r="A3" s="3">
        <f t="shared" ref="A3:A66" si="0">ROW()-1</f>
        <v>2</v>
      </c>
      <c r="B3" t="s">
        <v>121</v>
      </c>
    </row>
    <row r="4" spans="1:2" x14ac:dyDescent="0.35">
      <c r="A4" s="3">
        <f t="shared" si="0"/>
        <v>3</v>
      </c>
      <c r="B4" t="s">
        <v>122</v>
      </c>
    </row>
    <row r="5" spans="1:2" x14ac:dyDescent="0.35">
      <c r="A5" s="3">
        <f t="shared" si="0"/>
        <v>4</v>
      </c>
      <c r="B5" t="s">
        <v>123</v>
      </c>
    </row>
    <row r="6" spans="1:2" x14ac:dyDescent="0.35">
      <c r="A6" s="3">
        <f t="shared" si="0"/>
        <v>5</v>
      </c>
      <c r="B6" t="s">
        <v>124</v>
      </c>
    </row>
    <row r="7" spans="1:2" x14ac:dyDescent="0.35">
      <c r="A7" s="3">
        <f t="shared" si="0"/>
        <v>6</v>
      </c>
      <c r="B7" t="s">
        <v>125</v>
      </c>
    </row>
    <row r="8" spans="1:2" x14ac:dyDescent="0.35">
      <c r="A8" s="3">
        <f t="shared" si="0"/>
        <v>7</v>
      </c>
      <c r="B8" t="s">
        <v>126</v>
      </c>
    </row>
    <row r="9" spans="1:2" x14ac:dyDescent="0.35">
      <c r="A9" s="3">
        <f t="shared" si="0"/>
        <v>8</v>
      </c>
      <c r="B9" t="s">
        <v>127</v>
      </c>
    </row>
    <row r="10" spans="1:2" x14ac:dyDescent="0.35">
      <c r="A10" s="3">
        <f t="shared" si="0"/>
        <v>9</v>
      </c>
      <c r="B10" t="s">
        <v>128</v>
      </c>
    </row>
    <row r="11" spans="1:2" x14ac:dyDescent="0.35">
      <c r="A11" s="3">
        <f t="shared" si="0"/>
        <v>10</v>
      </c>
      <c r="B11" t="s">
        <v>129</v>
      </c>
    </row>
    <row r="12" spans="1:2" x14ac:dyDescent="0.35">
      <c r="A12" s="3">
        <f t="shared" si="0"/>
        <v>11</v>
      </c>
      <c r="B12" t="s">
        <v>130</v>
      </c>
    </row>
    <row r="13" spans="1:2" x14ac:dyDescent="0.35">
      <c r="A13" s="3">
        <f t="shared" si="0"/>
        <v>12</v>
      </c>
      <c r="B13" t="s">
        <v>131</v>
      </c>
    </row>
    <row r="14" spans="1:2" x14ac:dyDescent="0.35">
      <c r="A14" s="3">
        <f t="shared" si="0"/>
        <v>13</v>
      </c>
      <c r="B14" t="s">
        <v>132</v>
      </c>
    </row>
    <row r="15" spans="1:2" x14ac:dyDescent="0.35">
      <c r="A15" s="3">
        <f t="shared" si="0"/>
        <v>14</v>
      </c>
      <c r="B15" t="s">
        <v>133</v>
      </c>
    </row>
    <row r="16" spans="1:2" x14ac:dyDescent="0.35">
      <c r="A16" s="3">
        <f t="shared" si="0"/>
        <v>15</v>
      </c>
      <c r="B16" t="s">
        <v>134</v>
      </c>
    </row>
    <row r="17" spans="1:2" x14ac:dyDescent="0.35">
      <c r="A17" s="3">
        <f t="shared" si="0"/>
        <v>16</v>
      </c>
      <c r="B17" t="s">
        <v>135</v>
      </c>
    </row>
    <row r="18" spans="1:2" x14ac:dyDescent="0.35">
      <c r="A18" s="3">
        <f t="shared" si="0"/>
        <v>17</v>
      </c>
      <c r="B18" t="s">
        <v>136</v>
      </c>
    </row>
    <row r="19" spans="1:2" x14ac:dyDescent="0.35">
      <c r="A19" s="3">
        <f t="shared" si="0"/>
        <v>18</v>
      </c>
      <c r="B19" t="s">
        <v>137</v>
      </c>
    </row>
    <row r="20" spans="1:2" x14ac:dyDescent="0.35">
      <c r="A20" s="3">
        <f t="shared" si="0"/>
        <v>19</v>
      </c>
      <c r="B20" t="s">
        <v>138</v>
      </c>
    </row>
    <row r="21" spans="1:2" x14ac:dyDescent="0.35">
      <c r="A21" s="3">
        <f t="shared" si="0"/>
        <v>20</v>
      </c>
      <c r="B21" t="s">
        <v>139</v>
      </c>
    </row>
    <row r="22" spans="1:2" x14ac:dyDescent="0.35">
      <c r="A22" s="3">
        <f t="shared" si="0"/>
        <v>21</v>
      </c>
      <c r="B22" t="s">
        <v>140</v>
      </c>
    </row>
    <row r="23" spans="1:2" x14ac:dyDescent="0.35">
      <c r="A23" s="3">
        <f t="shared" si="0"/>
        <v>22</v>
      </c>
      <c r="B23" t="s">
        <v>141</v>
      </c>
    </row>
    <row r="24" spans="1:2" x14ac:dyDescent="0.35">
      <c r="A24" s="3">
        <f t="shared" si="0"/>
        <v>23</v>
      </c>
      <c r="B24" t="s">
        <v>142</v>
      </c>
    </row>
    <row r="25" spans="1:2" x14ac:dyDescent="0.35">
      <c r="A25" s="3">
        <f t="shared" si="0"/>
        <v>24</v>
      </c>
      <c r="B25" t="s">
        <v>143</v>
      </c>
    </row>
    <row r="26" spans="1:2" x14ac:dyDescent="0.35">
      <c r="A26" s="3">
        <f t="shared" si="0"/>
        <v>25</v>
      </c>
      <c r="B26" t="s">
        <v>144</v>
      </c>
    </row>
    <row r="27" spans="1:2" x14ac:dyDescent="0.35">
      <c r="A27" s="3">
        <f t="shared" si="0"/>
        <v>26</v>
      </c>
      <c r="B27" t="s">
        <v>145</v>
      </c>
    </row>
    <row r="28" spans="1:2" x14ac:dyDescent="0.35">
      <c r="A28" s="3">
        <f t="shared" si="0"/>
        <v>27</v>
      </c>
      <c r="B28" t="s">
        <v>146</v>
      </c>
    </row>
    <row r="29" spans="1:2" x14ac:dyDescent="0.35">
      <c r="A29" s="3">
        <f t="shared" si="0"/>
        <v>28</v>
      </c>
      <c r="B29" t="s">
        <v>147</v>
      </c>
    </row>
    <row r="30" spans="1:2" x14ac:dyDescent="0.35">
      <c r="A30" s="3">
        <f t="shared" si="0"/>
        <v>29</v>
      </c>
      <c r="B30" t="s">
        <v>148</v>
      </c>
    </row>
    <row r="31" spans="1:2" x14ac:dyDescent="0.35">
      <c r="A31" s="3">
        <f t="shared" si="0"/>
        <v>30</v>
      </c>
      <c r="B31" t="s">
        <v>149</v>
      </c>
    </row>
    <row r="32" spans="1:2" x14ac:dyDescent="0.35">
      <c r="A32" s="3">
        <f t="shared" si="0"/>
        <v>31</v>
      </c>
      <c r="B32" t="s">
        <v>150</v>
      </c>
    </row>
    <row r="33" spans="1:2" x14ac:dyDescent="0.35">
      <c r="A33" s="3">
        <f t="shared" si="0"/>
        <v>32</v>
      </c>
      <c r="B33" t="s">
        <v>151</v>
      </c>
    </row>
    <row r="34" spans="1:2" x14ac:dyDescent="0.35">
      <c r="A34" s="3">
        <f t="shared" si="0"/>
        <v>33</v>
      </c>
      <c r="B34" t="s">
        <v>152</v>
      </c>
    </row>
    <row r="35" spans="1:2" x14ac:dyDescent="0.35">
      <c r="A35" s="3">
        <f t="shared" si="0"/>
        <v>34</v>
      </c>
      <c r="B35" t="s">
        <v>153</v>
      </c>
    </row>
    <row r="36" spans="1:2" x14ac:dyDescent="0.35">
      <c r="A36" s="3">
        <f t="shared" si="0"/>
        <v>35</v>
      </c>
      <c r="B36" t="s">
        <v>154</v>
      </c>
    </row>
    <row r="37" spans="1:2" x14ac:dyDescent="0.35">
      <c r="A37" s="3">
        <f t="shared" si="0"/>
        <v>36</v>
      </c>
      <c r="B37" t="s">
        <v>155</v>
      </c>
    </row>
    <row r="38" spans="1:2" x14ac:dyDescent="0.35">
      <c r="A38" s="3">
        <f t="shared" si="0"/>
        <v>37</v>
      </c>
      <c r="B38" t="s">
        <v>156</v>
      </c>
    </row>
    <row r="39" spans="1:2" x14ac:dyDescent="0.35">
      <c r="A39" s="3">
        <f t="shared" si="0"/>
        <v>38</v>
      </c>
      <c r="B39" t="s">
        <v>157</v>
      </c>
    </row>
    <row r="40" spans="1:2" x14ac:dyDescent="0.35">
      <c r="A40" s="3">
        <f t="shared" si="0"/>
        <v>39</v>
      </c>
      <c r="B40" t="s">
        <v>158</v>
      </c>
    </row>
    <row r="41" spans="1:2" x14ac:dyDescent="0.35">
      <c r="A41" s="3">
        <f t="shared" si="0"/>
        <v>40</v>
      </c>
      <c r="B41" t="s">
        <v>159</v>
      </c>
    </row>
    <row r="42" spans="1:2" x14ac:dyDescent="0.35">
      <c r="A42" s="3">
        <f t="shared" si="0"/>
        <v>41</v>
      </c>
      <c r="B42" t="s">
        <v>160</v>
      </c>
    </row>
    <row r="43" spans="1:2" x14ac:dyDescent="0.35">
      <c r="A43" s="3">
        <f t="shared" si="0"/>
        <v>42</v>
      </c>
      <c r="B43" t="s">
        <v>161</v>
      </c>
    </row>
    <row r="44" spans="1:2" x14ac:dyDescent="0.35">
      <c r="A44" s="3">
        <f t="shared" si="0"/>
        <v>43</v>
      </c>
      <c r="B44" t="s">
        <v>162</v>
      </c>
    </row>
    <row r="45" spans="1:2" x14ac:dyDescent="0.35">
      <c r="A45" s="3">
        <f t="shared" si="0"/>
        <v>44</v>
      </c>
      <c r="B45" t="s">
        <v>163</v>
      </c>
    </row>
    <row r="46" spans="1:2" x14ac:dyDescent="0.35">
      <c r="A46" s="3">
        <f t="shared" si="0"/>
        <v>45</v>
      </c>
      <c r="B46" t="s">
        <v>164</v>
      </c>
    </row>
    <row r="47" spans="1:2" x14ac:dyDescent="0.35">
      <c r="A47" s="3">
        <f t="shared" si="0"/>
        <v>46</v>
      </c>
      <c r="B47" t="s">
        <v>165</v>
      </c>
    </row>
    <row r="48" spans="1:2" x14ac:dyDescent="0.35">
      <c r="A48" s="3">
        <f t="shared" si="0"/>
        <v>47</v>
      </c>
      <c r="B48" t="s">
        <v>166</v>
      </c>
    </row>
    <row r="49" spans="1:2" x14ac:dyDescent="0.35">
      <c r="A49" s="3">
        <f t="shared" si="0"/>
        <v>48</v>
      </c>
      <c r="B49" t="s">
        <v>167</v>
      </c>
    </row>
    <row r="50" spans="1:2" x14ac:dyDescent="0.35">
      <c r="A50" s="3">
        <f t="shared" si="0"/>
        <v>49</v>
      </c>
      <c r="B50" t="s">
        <v>168</v>
      </c>
    </row>
    <row r="51" spans="1:2" x14ac:dyDescent="0.35">
      <c r="A51" s="3">
        <f t="shared" si="0"/>
        <v>50</v>
      </c>
      <c r="B51" t="s">
        <v>169</v>
      </c>
    </row>
    <row r="52" spans="1:2" x14ac:dyDescent="0.35">
      <c r="A52" s="3">
        <f t="shared" si="0"/>
        <v>51</v>
      </c>
      <c r="B52" t="s">
        <v>118</v>
      </c>
    </row>
    <row r="53" spans="1:2" x14ac:dyDescent="0.35">
      <c r="A53" s="3">
        <f t="shared" si="0"/>
        <v>52</v>
      </c>
      <c r="B53" t="s">
        <v>170</v>
      </c>
    </row>
    <row r="54" spans="1:2" x14ac:dyDescent="0.35">
      <c r="A54" s="3">
        <f t="shared" si="0"/>
        <v>53</v>
      </c>
      <c r="B54" t="s">
        <v>171</v>
      </c>
    </row>
    <row r="55" spans="1:2" x14ac:dyDescent="0.35">
      <c r="A55" s="3">
        <f t="shared" si="0"/>
        <v>54</v>
      </c>
      <c r="B55" t="s">
        <v>117</v>
      </c>
    </row>
    <row r="56" spans="1:2" x14ac:dyDescent="0.35">
      <c r="A56" s="3">
        <f t="shared" si="0"/>
        <v>55</v>
      </c>
      <c r="B56" t="s">
        <v>172</v>
      </c>
    </row>
    <row r="57" spans="1:2" x14ac:dyDescent="0.35">
      <c r="A57" s="3">
        <f t="shared" si="0"/>
        <v>56</v>
      </c>
      <c r="B57" t="s">
        <v>173</v>
      </c>
    </row>
    <row r="58" spans="1:2" x14ac:dyDescent="0.35">
      <c r="A58" s="3">
        <f t="shared" si="0"/>
        <v>57</v>
      </c>
      <c r="B58" t="s">
        <v>174</v>
      </c>
    </row>
    <row r="59" spans="1:2" x14ac:dyDescent="0.35">
      <c r="A59" s="3">
        <f t="shared" si="0"/>
        <v>58</v>
      </c>
      <c r="B59" t="s">
        <v>175</v>
      </c>
    </row>
    <row r="60" spans="1:2" x14ac:dyDescent="0.35">
      <c r="A60" s="3">
        <f t="shared" si="0"/>
        <v>59</v>
      </c>
      <c r="B60" t="s">
        <v>176</v>
      </c>
    </row>
    <row r="61" spans="1:2" x14ac:dyDescent="0.35">
      <c r="A61" s="3">
        <f t="shared" si="0"/>
        <v>60</v>
      </c>
      <c r="B61" t="s">
        <v>177</v>
      </c>
    </row>
    <row r="62" spans="1:2" x14ac:dyDescent="0.35">
      <c r="A62" s="3">
        <f t="shared" si="0"/>
        <v>61</v>
      </c>
      <c r="B62" t="s">
        <v>178</v>
      </c>
    </row>
    <row r="63" spans="1:2" x14ac:dyDescent="0.35">
      <c r="A63" s="3">
        <f t="shared" si="0"/>
        <v>62</v>
      </c>
      <c r="B63" t="s">
        <v>179</v>
      </c>
    </row>
    <row r="64" spans="1:2" x14ac:dyDescent="0.35">
      <c r="A64" s="3">
        <f t="shared" si="0"/>
        <v>63</v>
      </c>
      <c r="B64" t="s">
        <v>180</v>
      </c>
    </row>
    <row r="65" spans="1:2" x14ac:dyDescent="0.35">
      <c r="A65" s="3">
        <f t="shared" si="0"/>
        <v>64</v>
      </c>
      <c r="B65" t="s">
        <v>181</v>
      </c>
    </row>
    <row r="66" spans="1:2" x14ac:dyDescent="0.35">
      <c r="A66" s="3">
        <f t="shared" si="0"/>
        <v>65</v>
      </c>
      <c r="B66" t="s">
        <v>182</v>
      </c>
    </row>
    <row r="67" spans="1:2" x14ac:dyDescent="0.35">
      <c r="A67" s="3">
        <f t="shared" ref="A67:A79" si="1">ROW()-1</f>
        <v>66</v>
      </c>
      <c r="B67" t="s">
        <v>183</v>
      </c>
    </row>
    <row r="68" spans="1:2" x14ac:dyDescent="0.35">
      <c r="A68" s="3">
        <f t="shared" si="1"/>
        <v>67</v>
      </c>
      <c r="B68" t="s">
        <v>184</v>
      </c>
    </row>
    <row r="69" spans="1:2" x14ac:dyDescent="0.35">
      <c r="A69" s="3">
        <f t="shared" si="1"/>
        <v>68</v>
      </c>
      <c r="B69" t="s">
        <v>185</v>
      </c>
    </row>
    <row r="70" spans="1:2" x14ac:dyDescent="0.35">
      <c r="A70" s="3">
        <f t="shared" si="1"/>
        <v>69</v>
      </c>
      <c r="B70" t="s">
        <v>186</v>
      </c>
    </row>
    <row r="71" spans="1:2" x14ac:dyDescent="0.35">
      <c r="A71" s="3">
        <f t="shared" si="1"/>
        <v>70</v>
      </c>
      <c r="B71" t="s">
        <v>187</v>
      </c>
    </row>
    <row r="72" spans="1:2" x14ac:dyDescent="0.35">
      <c r="A72" s="3">
        <f t="shared" si="1"/>
        <v>71</v>
      </c>
      <c r="B72" t="s">
        <v>188</v>
      </c>
    </row>
    <row r="73" spans="1:2" x14ac:dyDescent="0.35">
      <c r="A73" s="3">
        <f t="shared" si="1"/>
        <v>72</v>
      </c>
      <c r="B73" t="s">
        <v>189</v>
      </c>
    </row>
    <row r="74" spans="1:2" x14ac:dyDescent="0.35">
      <c r="A74" s="3">
        <f t="shared" si="1"/>
        <v>73</v>
      </c>
      <c r="B74" t="s">
        <v>190</v>
      </c>
    </row>
    <row r="75" spans="1:2" x14ac:dyDescent="0.35">
      <c r="A75" s="3">
        <f t="shared" si="1"/>
        <v>74</v>
      </c>
      <c r="B75" t="s">
        <v>191</v>
      </c>
    </row>
    <row r="76" spans="1:2" x14ac:dyDescent="0.35">
      <c r="A76" s="3">
        <f t="shared" si="1"/>
        <v>75</v>
      </c>
      <c r="B76" t="s">
        <v>192</v>
      </c>
    </row>
    <row r="77" spans="1:2" x14ac:dyDescent="0.35">
      <c r="A77" s="3">
        <f t="shared" si="1"/>
        <v>76</v>
      </c>
      <c r="B77" t="s">
        <v>193</v>
      </c>
    </row>
    <row r="78" spans="1:2" x14ac:dyDescent="0.35">
      <c r="A78" s="3">
        <f t="shared" si="1"/>
        <v>77</v>
      </c>
      <c r="B78" t="s">
        <v>194</v>
      </c>
    </row>
    <row r="79" spans="1:2" x14ac:dyDescent="0.35">
      <c r="A79" s="3">
        <f t="shared" si="1"/>
        <v>78</v>
      </c>
      <c r="B79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4861-7AEC-4F6D-8595-D3387612D6BF}">
  <dimension ref="A1:G1000"/>
  <sheetViews>
    <sheetView tabSelected="1" topLeftCell="A10" workbookViewId="0">
      <selection activeCell="G6" sqref="G6"/>
    </sheetView>
  </sheetViews>
  <sheetFormatPr defaultRowHeight="14.5" x14ac:dyDescent="0.35"/>
  <cols>
    <col min="1" max="1" width="24.7265625" customWidth="1"/>
    <col min="2" max="2" width="21.6328125" customWidth="1"/>
    <col min="3" max="3" width="29.7265625" style="3" customWidth="1"/>
    <col min="4" max="4" width="18.54296875" customWidth="1"/>
    <col min="5" max="5" width="22.08984375" customWidth="1"/>
    <col min="6" max="6" width="26.36328125" customWidth="1"/>
    <col min="7" max="7" width="33.7265625" customWidth="1"/>
  </cols>
  <sheetData>
    <row r="1" spans="1:7" s="1" customFormat="1" x14ac:dyDescent="0.35">
      <c r="A1" s="1" t="s">
        <v>0</v>
      </c>
      <c r="B1" s="1" t="s">
        <v>196</v>
      </c>
      <c r="C1" s="4" t="s">
        <v>197</v>
      </c>
      <c r="D1" s="1" t="s">
        <v>207</v>
      </c>
      <c r="E1" s="1" t="s">
        <v>208</v>
      </c>
      <c r="F1" s="6" t="s">
        <v>209</v>
      </c>
      <c r="G1" s="1" t="s">
        <v>226</v>
      </c>
    </row>
    <row r="2" spans="1:7" x14ac:dyDescent="0.35">
      <c r="A2" t="s">
        <v>1</v>
      </c>
      <c r="B2" t="s">
        <v>120</v>
      </c>
      <c r="C2" s="3">
        <v>5400</v>
      </c>
      <c r="D2">
        <f>_xlfn.XLOOKUP(A2, produk!$B:$B, produk!$A:$A)</f>
        <v>1</v>
      </c>
      <c r="E2">
        <f>_xlfn.XLOOKUP(B2, jenis_pekerjaan!$B:$B, jenis_pekerjaan!$A:$A)</f>
        <v>1</v>
      </c>
      <c r="F2" s="7">
        <v>7.0000000000000007E-2</v>
      </c>
      <c r="G2">
        <f>ROUNDDOWN(F2,2)</f>
        <v>7.0000000000000007E-2</v>
      </c>
    </row>
    <row r="3" spans="1:7" x14ac:dyDescent="0.35">
      <c r="A3" t="s">
        <v>1</v>
      </c>
      <c r="B3" t="s">
        <v>121</v>
      </c>
      <c r="C3" s="3">
        <v>4500</v>
      </c>
      <c r="D3">
        <f>_xlfn.XLOOKUP(A3, produk!$B:$B, produk!$A:$A)</f>
        <v>1</v>
      </c>
      <c r="E3">
        <f>_xlfn.XLOOKUP(B3, jenis_pekerjaan!$B:$B, jenis_pekerjaan!$A:$A)</f>
        <v>2</v>
      </c>
      <c r="F3" s="7">
        <v>8.4000000000000005E-2</v>
      </c>
      <c r="G3">
        <f t="shared" ref="G3:G66" si="0">ROUNDDOWN(F3,2)</f>
        <v>0.08</v>
      </c>
    </row>
    <row r="4" spans="1:7" x14ac:dyDescent="0.35">
      <c r="A4" t="s">
        <v>1</v>
      </c>
      <c r="B4" t="s">
        <v>124</v>
      </c>
      <c r="C4" s="3">
        <v>2800</v>
      </c>
      <c r="D4">
        <f>_xlfn.XLOOKUP(A4, produk!$B:$B, produk!$A:$A)</f>
        <v>1</v>
      </c>
      <c r="E4">
        <f>_xlfn.XLOOKUP(B4, jenis_pekerjaan!$B:$B, jenis_pekerjaan!$A:$A)</f>
        <v>5</v>
      </c>
      <c r="F4" s="7">
        <v>0.13500000000000001</v>
      </c>
      <c r="G4">
        <f t="shared" si="0"/>
        <v>0.13</v>
      </c>
    </row>
    <row r="5" spans="1:7" x14ac:dyDescent="0.35">
      <c r="A5" t="s">
        <v>1</v>
      </c>
      <c r="B5" t="s">
        <v>135</v>
      </c>
      <c r="C5" s="3">
        <v>1250</v>
      </c>
      <c r="D5">
        <f>_xlfn.XLOOKUP(A5, produk!$B:$B, produk!$A:$A)</f>
        <v>1</v>
      </c>
      <c r="E5">
        <f>_xlfn.XLOOKUP(B5, jenis_pekerjaan!$B:$B, jenis_pekerjaan!$A:$A)</f>
        <v>16</v>
      </c>
      <c r="F5" s="7">
        <v>0.3024</v>
      </c>
      <c r="G5">
        <f t="shared" si="0"/>
        <v>0.3</v>
      </c>
    </row>
    <row r="6" spans="1:7" x14ac:dyDescent="0.35">
      <c r="A6" t="s">
        <v>1</v>
      </c>
      <c r="B6" t="s">
        <v>138</v>
      </c>
      <c r="C6" s="3">
        <v>2800</v>
      </c>
      <c r="D6">
        <f>_xlfn.XLOOKUP(A6, produk!$B:$B, produk!$A:$A)</f>
        <v>1</v>
      </c>
      <c r="E6">
        <f>_xlfn.XLOOKUP(B6, jenis_pekerjaan!$B:$B, jenis_pekerjaan!$A:$A)</f>
        <v>19</v>
      </c>
      <c r="F6" s="7">
        <v>0.13500000000000001</v>
      </c>
      <c r="G6">
        <f t="shared" si="0"/>
        <v>0.13</v>
      </c>
    </row>
    <row r="7" spans="1:7" x14ac:dyDescent="0.35">
      <c r="A7" t="s">
        <v>1</v>
      </c>
      <c r="B7" t="s">
        <v>139</v>
      </c>
      <c r="C7" s="3">
        <v>2800</v>
      </c>
      <c r="D7">
        <f>_xlfn.XLOOKUP(A7, produk!$B:$B, produk!$A:$A)</f>
        <v>1</v>
      </c>
      <c r="E7">
        <f>_xlfn.XLOOKUP(B7, jenis_pekerjaan!$B:$B, jenis_pekerjaan!$A:$A)</f>
        <v>20</v>
      </c>
      <c r="F7" s="7">
        <v>0.13500000000000001</v>
      </c>
      <c r="G7">
        <f t="shared" si="0"/>
        <v>0.13</v>
      </c>
    </row>
    <row r="8" spans="1:7" x14ac:dyDescent="0.35">
      <c r="A8" t="s">
        <v>1</v>
      </c>
      <c r="B8" t="s">
        <v>188</v>
      </c>
      <c r="C8" s="3">
        <v>1000</v>
      </c>
      <c r="D8">
        <f>_xlfn.XLOOKUP(A8, produk!$B:$B, produk!$A:$A)</f>
        <v>1</v>
      </c>
      <c r="E8">
        <f>_xlfn.XLOOKUP(B8, jenis_pekerjaan!$B:$B, jenis_pekerjaan!$A:$A)</f>
        <v>71</v>
      </c>
      <c r="F8" s="7">
        <v>0.378</v>
      </c>
      <c r="G8">
        <f t="shared" si="0"/>
        <v>0.37</v>
      </c>
    </row>
    <row r="9" spans="1:7" x14ac:dyDescent="0.35">
      <c r="D9">
        <f>_xlfn.XLOOKUP(A9, produk!$B:$B, produk!$A:$A)</f>
        <v>0</v>
      </c>
      <c r="E9">
        <f>_xlfn.XLOOKUP(B9, jenis_pekerjaan!$B:$B, jenis_pekerjaan!$A:$A)</f>
        <v>0</v>
      </c>
      <c r="F9" s="7"/>
      <c r="G9">
        <f t="shared" si="0"/>
        <v>0</v>
      </c>
    </row>
    <row r="10" spans="1:7" x14ac:dyDescent="0.35">
      <c r="A10" t="s">
        <v>2</v>
      </c>
      <c r="B10" t="s">
        <v>120</v>
      </c>
      <c r="C10" s="3">
        <v>4500</v>
      </c>
      <c r="D10">
        <f>_xlfn.XLOOKUP(A10, produk!$B:$B, produk!$A:$A)</f>
        <v>2</v>
      </c>
      <c r="E10">
        <f>_xlfn.XLOOKUP(B10, jenis_pekerjaan!$B:$B, jenis_pekerjaan!$A:$A)</f>
        <v>1</v>
      </c>
      <c r="F10" s="7">
        <v>8.4000000000000005E-2</v>
      </c>
      <c r="G10">
        <f t="shared" si="0"/>
        <v>0.08</v>
      </c>
    </row>
    <row r="11" spans="1:7" x14ac:dyDescent="0.35">
      <c r="A11" t="s">
        <v>2</v>
      </c>
      <c r="B11" t="s">
        <v>121</v>
      </c>
      <c r="C11" s="3">
        <v>6300</v>
      </c>
      <c r="D11">
        <f>_xlfn.XLOOKUP(A11, produk!$B:$B, produk!$A:$A)</f>
        <v>2</v>
      </c>
      <c r="E11">
        <f>_xlfn.XLOOKUP(B11, jenis_pekerjaan!$B:$B, jenis_pekerjaan!$A:$A)</f>
        <v>2</v>
      </c>
      <c r="F11" s="7">
        <v>0.06</v>
      </c>
      <c r="G11">
        <f t="shared" si="0"/>
        <v>0.06</v>
      </c>
    </row>
    <row r="12" spans="1:7" x14ac:dyDescent="0.35">
      <c r="D12">
        <f>_xlfn.XLOOKUP(A12, produk!$B:$B, produk!$A:$A)</f>
        <v>0</v>
      </c>
      <c r="E12">
        <f>_xlfn.XLOOKUP(B12, jenis_pekerjaan!$B:$B, jenis_pekerjaan!$A:$A)</f>
        <v>0</v>
      </c>
      <c r="F12" s="7"/>
      <c r="G12">
        <f t="shared" si="0"/>
        <v>0</v>
      </c>
    </row>
    <row r="13" spans="1:7" x14ac:dyDescent="0.35">
      <c r="A13" t="s">
        <v>3</v>
      </c>
      <c r="B13" t="s">
        <v>120</v>
      </c>
      <c r="C13" s="3">
        <v>2100</v>
      </c>
      <c r="D13">
        <f>_xlfn.XLOOKUP(A13, produk!$B:$B, produk!$A:$A)</f>
        <v>3</v>
      </c>
      <c r="E13">
        <f>_xlfn.XLOOKUP(B13, jenis_pekerjaan!$B:$B, jenis_pekerjaan!$A:$A)</f>
        <v>1</v>
      </c>
      <c r="F13" s="7">
        <v>0.18</v>
      </c>
      <c r="G13">
        <f t="shared" si="0"/>
        <v>0.18</v>
      </c>
    </row>
    <row r="14" spans="1:7" x14ac:dyDescent="0.35">
      <c r="D14">
        <f>_xlfn.XLOOKUP(A14, produk!$B:$B, produk!$A:$A)</f>
        <v>0</v>
      </c>
      <c r="E14">
        <f>_xlfn.XLOOKUP(B14, jenis_pekerjaan!$B:$B, jenis_pekerjaan!$A:$A)</f>
        <v>0</v>
      </c>
      <c r="F14" s="7"/>
      <c r="G14">
        <f t="shared" si="0"/>
        <v>0</v>
      </c>
    </row>
    <row r="15" spans="1:7" x14ac:dyDescent="0.35">
      <c r="A15" t="s">
        <v>4</v>
      </c>
      <c r="B15" t="s">
        <v>120</v>
      </c>
      <c r="C15" s="3">
        <v>3500</v>
      </c>
      <c r="D15">
        <f>_xlfn.XLOOKUP(A15, produk!$B:$B, produk!$A:$A)</f>
        <v>4</v>
      </c>
      <c r="E15">
        <f>_xlfn.XLOOKUP(B15, jenis_pekerjaan!$B:$B, jenis_pekerjaan!$A:$A)</f>
        <v>1</v>
      </c>
      <c r="F15" s="7">
        <v>0.108</v>
      </c>
      <c r="G15">
        <f t="shared" si="0"/>
        <v>0.1</v>
      </c>
    </row>
    <row r="16" spans="1:7" x14ac:dyDescent="0.35">
      <c r="A16" t="s">
        <v>4</v>
      </c>
      <c r="B16" t="s">
        <v>121</v>
      </c>
      <c r="C16" s="3">
        <v>4000</v>
      </c>
      <c r="D16">
        <f>_xlfn.XLOOKUP(A16, produk!$B:$B, produk!$A:$A)</f>
        <v>4</v>
      </c>
      <c r="E16">
        <f>_xlfn.XLOOKUP(B16, jenis_pekerjaan!$B:$B, jenis_pekerjaan!$A:$A)</f>
        <v>2</v>
      </c>
      <c r="F16" s="7">
        <v>9.4500000000000001E-2</v>
      </c>
      <c r="G16">
        <f t="shared" si="0"/>
        <v>0.09</v>
      </c>
    </row>
    <row r="17" spans="1:7" x14ac:dyDescent="0.35">
      <c r="A17" t="s">
        <v>4</v>
      </c>
      <c r="B17" t="s">
        <v>135</v>
      </c>
      <c r="C17" s="3">
        <v>700</v>
      </c>
      <c r="D17">
        <f>_xlfn.XLOOKUP(A17, produk!$B:$B, produk!$A:$A)</f>
        <v>4</v>
      </c>
      <c r="E17">
        <f>_xlfn.XLOOKUP(B17, jenis_pekerjaan!$B:$B, jenis_pekerjaan!$A:$A)</f>
        <v>16</v>
      </c>
      <c r="F17" s="7">
        <v>0.54</v>
      </c>
      <c r="G17">
        <f t="shared" si="0"/>
        <v>0.54</v>
      </c>
    </row>
    <row r="18" spans="1:7" x14ac:dyDescent="0.35">
      <c r="D18">
        <f>_xlfn.XLOOKUP(A18, produk!$B:$B, produk!$A:$A)</f>
        <v>0</v>
      </c>
      <c r="E18">
        <f>_xlfn.XLOOKUP(B18, jenis_pekerjaan!$B:$B, jenis_pekerjaan!$A:$A)</f>
        <v>0</v>
      </c>
      <c r="F18" s="7"/>
      <c r="G18">
        <f t="shared" si="0"/>
        <v>0</v>
      </c>
    </row>
    <row r="19" spans="1:7" x14ac:dyDescent="0.35">
      <c r="A19" t="s">
        <v>5</v>
      </c>
      <c r="B19" t="s">
        <v>120</v>
      </c>
      <c r="D19">
        <f>_xlfn.XLOOKUP(A19, produk!$B:$B, produk!$A:$A)</f>
        <v>5</v>
      </c>
      <c r="E19">
        <f>_xlfn.XLOOKUP(B19, jenis_pekerjaan!$B:$B, jenis_pekerjaan!$A:$A)</f>
        <v>1</v>
      </c>
      <c r="F19" s="7" t="s">
        <v>210</v>
      </c>
      <c r="G19" t="e">
        <f t="shared" si="0"/>
        <v>#VALUE!</v>
      </c>
    </row>
    <row r="20" spans="1:7" x14ac:dyDescent="0.35">
      <c r="A20" t="s">
        <v>5</v>
      </c>
      <c r="B20" t="s">
        <v>121</v>
      </c>
      <c r="D20">
        <f>_xlfn.XLOOKUP(A20, produk!$B:$B, produk!$A:$A)</f>
        <v>5</v>
      </c>
      <c r="E20">
        <f>_xlfn.XLOOKUP(B20, jenis_pekerjaan!$B:$B, jenis_pekerjaan!$A:$A)</f>
        <v>2</v>
      </c>
      <c r="F20" s="7" t="s">
        <v>210</v>
      </c>
      <c r="G20" t="e">
        <f t="shared" si="0"/>
        <v>#VALUE!</v>
      </c>
    </row>
    <row r="21" spans="1:7" x14ac:dyDescent="0.35">
      <c r="D21">
        <f>_xlfn.XLOOKUP(A21, produk!$B:$B, produk!$A:$A)</f>
        <v>0</v>
      </c>
      <c r="E21">
        <f>_xlfn.XLOOKUP(B21, jenis_pekerjaan!$B:$B, jenis_pekerjaan!$A:$A)</f>
        <v>0</v>
      </c>
      <c r="F21" s="7"/>
      <c r="G21">
        <f t="shared" si="0"/>
        <v>0</v>
      </c>
    </row>
    <row r="22" spans="1:7" x14ac:dyDescent="0.35">
      <c r="A22" t="s">
        <v>6</v>
      </c>
      <c r="B22" t="s">
        <v>120</v>
      </c>
      <c r="C22" s="3" t="s">
        <v>198</v>
      </c>
      <c r="D22">
        <f>_xlfn.XLOOKUP(A22, produk!$B:$B, produk!$A:$A)</f>
        <v>6</v>
      </c>
      <c r="E22">
        <f>_xlfn.XLOOKUP(B22, jenis_pekerjaan!$B:$B, jenis_pekerjaan!$A:$A)</f>
        <v>1</v>
      </c>
      <c r="F22" s="7">
        <v>2.52E-2</v>
      </c>
      <c r="G22">
        <f t="shared" si="0"/>
        <v>0.02</v>
      </c>
    </row>
    <row r="23" spans="1:7" x14ac:dyDescent="0.35">
      <c r="A23" t="s">
        <v>6</v>
      </c>
      <c r="B23" t="s">
        <v>172</v>
      </c>
      <c r="C23" s="3">
        <v>0</v>
      </c>
      <c r="D23">
        <f>_xlfn.XLOOKUP(A23, produk!$B:$B, produk!$A:$A)</f>
        <v>6</v>
      </c>
      <c r="E23">
        <f>_xlfn.XLOOKUP(B23, jenis_pekerjaan!$B:$B, jenis_pekerjaan!$A:$A)</f>
        <v>55</v>
      </c>
      <c r="F23" s="7" t="s">
        <v>210</v>
      </c>
      <c r="G23" t="e">
        <f t="shared" si="0"/>
        <v>#VALUE!</v>
      </c>
    </row>
    <row r="24" spans="1:7" x14ac:dyDescent="0.35">
      <c r="D24">
        <f>_xlfn.XLOOKUP(A24, produk!$B:$B, produk!$A:$A)</f>
        <v>0</v>
      </c>
      <c r="E24">
        <f>_xlfn.XLOOKUP(B24, jenis_pekerjaan!$B:$B, jenis_pekerjaan!$A:$A)</f>
        <v>0</v>
      </c>
      <c r="F24" s="8"/>
      <c r="G24">
        <f t="shared" si="0"/>
        <v>0</v>
      </c>
    </row>
    <row r="25" spans="1:7" x14ac:dyDescent="0.35">
      <c r="A25" t="s">
        <v>7</v>
      </c>
      <c r="B25" t="s">
        <v>120</v>
      </c>
      <c r="C25" s="3">
        <v>3780</v>
      </c>
      <c r="D25">
        <f>_xlfn.XLOOKUP(A25, produk!$B:$B, produk!$A:$A)</f>
        <v>7</v>
      </c>
      <c r="E25">
        <f>_xlfn.XLOOKUP(B25, jenis_pekerjaan!$B:$B, jenis_pekerjaan!$A:$A)</f>
        <v>1</v>
      </c>
      <c r="F25" s="7" t="s">
        <v>211</v>
      </c>
      <c r="G25">
        <f t="shared" si="0"/>
        <v>0.06</v>
      </c>
    </row>
    <row r="26" spans="1:7" x14ac:dyDescent="0.35">
      <c r="A26" t="s">
        <v>7</v>
      </c>
      <c r="B26" t="s">
        <v>121</v>
      </c>
      <c r="C26" s="3">
        <v>4000</v>
      </c>
      <c r="D26">
        <f>_xlfn.XLOOKUP(A26, produk!$B:$B, produk!$A:$A)</f>
        <v>7</v>
      </c>
      <c r="E26">
        <f>_xlfn.XLOOKUP(B26, jenis_pekerjaan!$B:$B, jenis_pekerjaan!$A:$A)</f>
        <v>2</v>
      </c>
      <c r="F26" s="7">
        <v>9.4500000000000001E-2</v>
      </c>
      <c r="G26">
        <f t="shared" si="0"/>
        <v>0.09</v>
      </c>
    </row>
    <row r="27" spans="1:7" x14ac:dyDescent="0.35">
      <c r="D27">
        <f>_xlfn.XLOOKUP(A27, produk!$B:$B, produk!$A:$A)</f>
        <v>0</v>
      </c>
      <c r="E27">
        <f>_xlfn.XLOOKUP(B27, jenis_pekerjaan!$B:$B, jenis_pekerjaan!$A:$A)</f>
        <v>0</v>
      </c>
      <c r="F27" s="8"/>
      <c r="G27">
        <f t="shared" si="0"/>
        <v>0</v>
      </c>
    </row>
    <row r="28" spans="1:7" x14ac:dyDescent="0.35">
      <c r="A28" t="s">
        <v>8</v>
      </c>
      <c r="B28" t="s">
        <v>120</v>
      </c>
      <c r="C28" s="3">
        <v>3400</v>
      </c>
      <c r="D28">
        <f>_xlfn.XLOOKUP(A28, produk!$B:$B, produk!$A:$A)</f>
        <v>8</v>
      </c>
      <c r="E28">
        <f>_xlfn.XLOOKUP(B28, jenis_pekerjaan!$B:$B, jenis_pekerjaan!$A:$A)</f>
        <v>1</v>
      </c>
      <c r="F28" s="7" t="s">
        <v>212</v>
      </c>
      <c r="G28">
        <f t="shared" si="0"/>
        <v>0.11</v>
      </c>
    </row>
    <row r="29" spans="1:7" x14ac:dyDescent="0.35">
      <c r="A29" t="s">
        <v>8</v>
      </c>
      <c r="B29" t="s">
        <v>121</v>
      </c>
      <c r="C29" s="3">
        <v>3200</v>
      </c>
      <c r="D29">
        <f>_xlfn.XLOOKUP(A29, produk!$B:$B, produk!$A:$A)</f>
        <v>8</v>
      </c>
      <c r="E29">
        <f>_xlfn.XLOOKUP(B29, jenis_pekerjaan!$B:$B, jenis_pekerjaan!$A:$A)</f>
        <v>2</v>
      </c>
      <c r="F29" s="7">
        <v>0.11812499999999999</v>
      </c>
      <c r="G29">
        <f t="shared" si="0"/>
        <v>0.11</v>
      </c>
    </row>
    <row r="30" spans="1:7" x14ac:dyDescent="0.35">
      <c r="D30">
        <f>_xlfn.XLOOKUP(A30, produk!$B:$B, produk!$A:$A)</f>
        <v>0</v>
      </c>
      <c r="E30">
        <f>_xlfn.XLOOKUP(B30, jenis_pekerjaan!$B:$B, jenis_pekerjaan!$A:$A)</f>
        <v>0</v>
      </c>
      <c r="F30" s="8"/>
      <c r="G30">
        <f t="shared" si="0"/>
        <v>0</v>
      </c>
    </row>
    <row r="31" spans="1:7" x14ac:dyDescent="0.35">
      <c r="A31" t="s">
        <v>9</v>
      </c>
      <c r="B31" t="s">
        <v>120</v>
      </c>
      <c r="C31" s="3">
        <v>2700</v>
      </c>
      <c r="D31">
        <f>_xlfn.XLOOKUP(A31, produk!$B:$B, produk!$A:$A)</f>
        <v>9</v>
      </c>
      <c r="E31">
        <f>_xlfn.XLOOKUP(B31, jenis_pekerjaan!$B:$B, jenis_pekerjaan!$A:$A)</f>
        <v>1</v>
      </c>
      <c r="F31" s="7" t="s">
        <v>213</v>
      </c>
      <c r="G31">
        <f t="shared" si="0"/>
        <v>0.06</v>
      </c>
    </row>
    <row r="32" spans="1:7" x14ac:dyDescent="0.35">
      <c r="A32" t="s">
        <v>9</v>
      </c>
      <c r="B32" t="s">
        <v>121</v>
      </c>
      <c r="C32" s="3">
        <v>3500</v>
      </c>
      <c r="D32">
        <f>_xlfn.XLOOKUP(A32, produk!$B:$B, produk!$A:$A)</f>
        <v>9</v>
      </c>
      <c r="E32">
        <f>_xlfn.XLOOKUP(B32, jenis_pekerjaan!$B:$B, jenis_pekerjaan!$A:$A)</f>
        <v>2</v>
      </c>
      <c r="F32" s="7">
        <v>0.108</v>
      </c>
      <c r="G32">
        <f t="shared" si="0"/>
        <v>0.1</v>
      </c>
    </row>
    <row r="33" spans="1:7" x14ac:dyDescent="0.35">
      <c r="A33" t="s">
        <v>9</v>
      </c>
      <c r="B33" t="s">
        <v>142</v>
      </c>
      <c r="C33" s="3">
        <v>2100</v>
      </c>
      <c r="D33">
        <f>_xlfn.XLOOKUP(A33, produk!$B:$B, produk!$A:$A)</f>
        <v>9</v>
      </c>
      <c r="E33">
        <f>_xlfn.XLOOKUP(B33, jenis_pekerjaan!$B:$B, jenis_pekerjaan!$A:$A)</f>
        <v>23</v>
      </c>
      <c r="F33" s="7">
        <v>0.18</v>
      </c>
      <c r="G33">
        <f t="shared" si="0"/>
        <v>0.18</v>
      </c>
    </row>
    <row r="34" spans="1:7" x14ac:dyDescent="0.35">
      <c r="A34" t="s">
        <v>9</v>
      </c>
      <c r="B34" t="s">
        <v>122</v>
      </c>
      <c r="C34" s="3">
        <v>4000</v>
      </c>
      <c r="D34">
        <f>_xlfn.XLOOKUP(A34, produk!$B:$B, produk!$A:$A)</f>
        <v>9</v>
      </c>
      <c r="E34">
        <f>_xlfn.XLOOKUP(B34, jenis_pekerjaan!$B:$B, jenis_pekerjaan!$A:$A)</f>
        <v>3</v>
      </c>
      <c r="F34" s="7">
        <v>9.4500000000000001E-2</v>
      </c>
      <c r="G34">
        <f t="shared" si="0"/>
        <v>0.09</v>
      </c>
    </row>
    <row r="35" spans="1:7" x14ac:dyDescent="0.35">
      <c r="D35">
        <f>_xlfn.XLOOKUP(A35, produk!$B:$B, produk!$A:$A)</f>
        <v>0</v>
      </c>
      <c r="E35">
        <f>_xlfn.XLOOKUP(B35, jenis_pekerjaan!$B:$B, jenis_pekerjaan!$A:$A)</f>
        <v>0</v>
      </c>
      <c r="F35" s="8"/>
      <c r="G35">
        <f t="shared" si="0"/>
        <v>0</v>
      </c>
    </row>
    <row r="36" spans="1:7" x14ac:dyDescent="0.35">
      <c r="A36" t="s">
        <v>10</v>
      </c>
      <c r="B36" t="s">
        <v>120</v>
      </c>
      <c r="C36" s="3">
        <v>4900</v>
      </c>
      <c r="D36">
        <f>_xlfn.XLOOKUP(A36, produk!$B:$B, produk!$A:$A)</f>
        <v>10</v>
      </c>
      <c r="E36">
        <f>_xlfn.XLOOKUP(B36, jenis_pekerjaan!$B:$B, jenis_pekerjaan!$A:$A)</f>
        <v>1</v>
      </c>
      <c r="F36" s="7" t="s">
        <v>214</v>
      </c>
      <c r="G36">
        <f t="shared" si="0"/>
        <v>0.05</v>
      </c>
    </row>
    <row r="37" spans="1:7" x14ac:dyDescent="0.35">
      <c r="A37" t="s">
        <v>10</v>
      </c>
      <c r="B37" t="s">
        <v>121</v>
      </c>
      <c r="C37" s="3">
        <v>4900</v>
      </c>
      <c r="D37">
        <f>_xlfn.XLOOKUP(A37, produk!$B:$B, produk!$A:$A)</f>
        <v>10</v>
      </c>
      <c r="E37">
        <f>_xlfn.XLOOKUP(B37, jenis_pekerjaan!$B:$B, jenis_pekerjaan!$A:$A)</f>
        <v>2</v>
      </c>
      <c r="F37" s="7">
        <v>7.7142857140000007E-2</v>
      </c>
      <c r="G37">
        <f t="shared" si="0"/>
        <v>7.0000000000000007E-2</v>
      </c>
    </row>
    <row r="38" spans="1:7" x14ac:dyDescent="0.35">
      <c r="A38" t="s">
        <v>10</v>
      </c>
      <c r="B38" t="s">
        <v>135</v>
      </c>
      <c r="C38" s="3">
        <v>1200</v>
      </c>
      <c r="D38">
        <f>_xlfn.XLOOKUP(A38, produk!$B:$B, produk!$A:$A)</f>
        <v>10</v>
      </c>
      <c r="E38">
        <f>_xlfn.XLOOKUP(B38, jenis_pekerjaan!$B:$B, jenis_pekerjaan!$A:$A)</f>
        <v>16</v>
      </c>
      <c r="F38" s="7">
        <v>0.315</v>
      </c>
      <c r="G38">
        <f t="shared" si="0"/>
        <v>0.31</v>
      </c>
    </row>
    <row r="39" spans="1:7" x14ac:dyDescent="0.35">
      <c r="A39" t="s">
        <v>10</v>
      </c>
      <c r="B39" t="s">
        <v>138</v>
      </c>
      <c r="D39">
        <f>_xlfn.XLOOKUP(A39, produk!$B:$B, produk!$A:$A)</f>
        <v>10</v>
      </c>
      <c r="E39">
        <f>_xlfn.XLOOKUP(B39, jenis_pekerjaan!$B:$B, jenis_pekerjaan!$A:$A)</f>
        <v>19</v>
      </c>
      <c r="F39" s="7">
        <v>0.21</v>
      </c>
      <c r="G39">
        <f t="shared" si="0"/>
        <v>0.21</v>
      </c>
    </row>
    <row r="40" spans="1:7" x14ac:dyDescent="0.35">
      <c r="D40">
        <f>_xlfn.XLOOKUP(A40, produk!$B:$B, produk!$A:$A)</f>
        <v>0</v>
      </c>
      <c r="E40">
        <f>_xlfn.XLOOKUP(B40, jenis_pekerjaan!$B:$B, jenis_pekerjaan!$A:$A)</f>
        <v>0</v>
      </c>
      <c r="F40" s="8"/>
      <c r="G40">
        <f t="shared" si="0"/>
        <v>0</v>
      </c>
    </row>
    <row r="41" spans="1:7" x14ac:dyDescent="0.35">
      <c r="A41" t="s">
        <v>11</v>
      </c>
      <c r="B41" t="s">
        <v>120</v>
      </c>
      <c r="C41" s="3">
        <v>1200</v>
      </c>
      <c r="D41">
        <f>_xlfn.XLOOKUP(A41, produk!$B:$B, produk!$A:$A)</f>
        <v>11</v>
      </c>
      <c r="E41">
        <f>_xlfn.XLOOKUP(B41, jenis_pekerjaan!$B:$B, jenis_pekerjaan!$A:$A)</f>
        <v>1</v>
      </c>
      <c r="F41" s="7">
        <v>0.315</v>
      </c>
      <c r="G41">
        <f t="shared" si="0"/>
        <v>0.31</v>
      </c>
    </row>
    <row r="42" spans="1:7" x14ac:dyDescent="0.35">
      <c r="A42" t="s">
        <v>11</v>
      </c>
      <c r="B42" t="s">
        <v>158</v>
      </c>
      <c r="C42" s="3">
        <v>350</v>
      </c>
      <c r="D42">
        <f>_xlfn.XLOOKUP(A42, produk!$B:$B, produk!$A:$A)</f>
        <v>11</v>
      </c>
      <c r="E42">
        <f>_xlfn.XLOOKUP(B42, jenis_pekerjaan!$B:$B, jenis_pekerjaan!$A:$A)</f>
        <v>39</v>
      </c>
      <c r="F42" s="7">
        <v>1.08</v>
      </c>
      <c r="G42">
        <f t="shared" si="0"/>
        <v>1.08</v>
      </c>
    </row>
    <row r="43" spans="1:7" x14ac:dyDescent="0.35">
      <c r="A43" t="s">
        <v>11</v>
      </c>
      <c r="B43" t="s">
        <v>159</v>
      </c>
      <c r="C43" s="3">
        <v>300</v>
      </c>
      <c r="D43">
        <f>_xlfn.XLOOKUP(A43, produk!$B:$B, produk!$A:$A)</f>
        <v>11</v>
      </c>
      <c r="E43">
        <f>_xlfn.XLOOKUP(B43, jenis_pekerjaan!$B:$B, jenis_pekerjaan!$A:$A)</f>
        <v>40</v>
      </c>
      <c r="F43" s="7">
        <v>1.26</v>
      </c>
      <c r="G43">
        <f t="shared" si="0"/>
        <v>1.26</v>
      </c>
    </row>
    <row r="44" spans="1:7" x14ac:dyDescent="0.35">
      <c r="A44" t="s">
        <v>11</v>
      </c>
      <c r="B44" t="s">
        <v>124</v>
      </c>
      <c r="C44" s="3">
        <v>400</v>
      </c>
      <c r="D44">
        <f>_xlfn.XLOOKUP(A44, produk!$B:$B, produk!$A:$A)</f>
        <v>11</v>
      </c>
      <c r="E44">
        <f>_xlfn.XLOOKUP(B44, jenis_pekerjaan!$B:$B, jenis_pekerjaan!$A:$A)</f>
        <v>5</v>
      </c>
      <c r="F44" s="7">
        <v>0.94499999999999995</v>
      </c>
      <c r="G44">
        <f t="shared" si="0"/>
        <v>0.94</v>
      </c>
    </row>
    <row r="45" spans="1:7" x14ac:dyDescent="0.35">
      <c r="D45">
        <f>_xlfn.XLOOKUP(A45, produk!$B:$B, produk!$A:$A)</f>
        <v>0</v>
      </c>
      <c r="E45">
        <f>_xlfn.XLOOKUP(B45, jenis_pekerjaan!$B:$B, jenis_pekerjaan!$A:$A)</f>
        <v>0</v>
      </c>
      <c r="F45" s="7"/>
      <c r="G45">
        <f t="shared" si="0"/>
        <v>0</v>
      </c>
    </row>
    <row r="46" spans="1:7" x14ac:dyDescent="0.35">
      <c r="A46" t="s">
        <v>12</v>
      </c>
      <c r="B46" t="s">
        <v>120</v>
      </c>
      <c r="C46" s="3">
        <v>1200</v>
      </c>
      <c r="D46">
        <f>_xlfn.XLOOKUP(A46, produk!$B:$B, produk!$A:$A)</f>
        <v>12</v>
      </c>
      <c r="E46">
        <f>_xlfn.XLOOKUP(B46, jenis_pekerjaan!$B:$B, jenis_pekerjaan!$A:$A)</f>
        <v>1</v>
      </c>
      <c r="F46" s="7">
        <v>0.315</v>
      </c>
      <c r="G46">
        <f t="shared" si="0"/>
        <v>0.31</v>
      </c>
    </row>
    <row r="47" spans="1:7" x14ac:dyDescent="0.35">
      <c r="A47" t="s">
        <v>12</v>
      </c>
      <c r="B47" t="s">
        <v>158</v>
      </c>
      <c r="C47" s="3">
        <v>350</v>
      </c>
      <c r="D47">
        <f>_xlfn.XLOOKUP(A47, produk!$B:$B, produk!$A:$A)</f>
        <v>12</v>
      </c>
      <c r="E47">
        <f>_xlfn.XLOOKUP(B47, jenis_pekerjaan!$B:$B, jenis_pekerjaan!$A:$A)</f>
        <v>39</v>
      </c>
      <c r="F47" s="7">
        <v>1.08</v>
      </c>
      <c r="G47">
        <f t="shared" si="0"/>
        <v>1.08</v>
      </c>
    </row>
    <row r="48" spans="1:7" x14ac:dyDescent="0.35">
      <c r="A48" t="s">
        <v>12</v>
      </c>
      <c r="B48" t="s">
        <v>159</v>
      </c>
      <c r="C48" s="3">
        <v>300</v>
      </c>
      <c r="D48">
        <f>_xlfn.XLOOKUP(A48, produk!$B:$B, produk!$A:$A)</f>
        <v>12</v>
      </c>
      <c r="E48">
        <f>_xlfn.XLOOKUP(B48, jenis_pekerjaan!$B:$B, jenis_pekerjaan!$A:$A)</f>
        <v>40</v>
      </c>
      <c r="F48" s="7">
        <v>1.26</v>
      </c>
      <c r="G48">
        <f t="shared" si="0"/>
        <v>1.26</v>
      </c>
    </row>
    <row r="49" spans="1:7" x14ac:dyDescent="0.35">
      <c r="A49" t="s">
        <v>12</v>
      </c>
      <c r="B49" t="s">
        <v>124</v>
      </c>
      <c r="C49" s="3">
        <v>400</v>
      </c>
      <c r="D49">
        <f>_xlfn.XLOOKUP(A49, produk!$B:$B, produk!$A:$A)</f>
        <v>12</v>
      </c>
      <c r="E49">
        <f>_xlfn.XLOOKUP(B49, jenis_pekerjaan!$B:$B, jenis_pekerjaan!$A:$A)</f>
        <v>5</v>
      </c>
      <c r="F49" s="7">
        <v>0.94499999999999995</v>
      </c>
      <c r="G49">
        <f t="shared" si="0"/>
        <v>0.94</v>
      </c>
    </row>
    <row r="50" spans="1:7" x14ac:dyDescent="0.35">
      <c r="D50">
        <f>_xlfn.XLOOKUP(A50, produk!$B:$B, produk!$A:$A)</f>
        <v>0</v>
      </c>
      <c r="E50">
        <f>_xlfn.XLOOKUP(B50, jenis_pekerjaan!$B:$B, jenis_pekerjaan!$A:$A)</f>
        <v>0</v>
      </c>
      <c r="F50" s="7"/>
      <c r="G50">
        <f t="shared" si="0"/>
        <v>0</v>
      </c>
    </row>
    <row r="51" spans="1:7" x14ac:dyDescent="0.35">
      <c r="A51" t="s">
        <v>13</v>
      </c>
      <c r="B51" t="s">
        <v>120</v>
      </c>
      <c r="C51" s="3" t="s">
        <v>199</v>
      </c>
      <c r="D51">
        <f>_xlfn.XLOOKUP(A51, produk!$B:$B, produk!$A:$A)</f>
        <v>13</v>
      </c>
      <c r="E51">
        <f>_xlfn.XLOOKUP(B51, jenis_pekerjaan!$B:$B, jenis_pekerjaan!$A:$A)</f>
        <v>1</v>
      </c>
      <c r="F51" s="7">
        <v>0.108</v>
      </c>
      <c r="G51">
        <f t="shared" si="0"/>
        <v>0.1</v>
      </c>
    </row>
    <row r="52" spans="1:7" x14ac:dyDescent="0.35">
      <c r="D52">
        <f>_xlfn.XLOOKUP(A52, produk!$B:$B, produk!$A:$A)</f>
        <v>0</v>
      </c>
      <c r="E52">
        <f>_xlfn.XLOOKUP(B52, jenis_pekerjaan!$B:$B, jenis_pekerjaan!$A:$A)</f>
        <v>0</v>
      </c>
      <c r="F52" s="7"/>
      <c r="G52">
        <f t="shared" si="0"/>
        <v>0</v>
      </c>
    </row>
    <row r="53" spans="1:7" x14ac:dyDescent="0.35">
      <c r="A53" t="s">
        <v>14</v>
      </c>
      <c r="B53" t="s">
        <v>120</v>
      </c>
      <c r="D53">
        <f>_xlfn.XLOOKUP(A53, produk!$B:$B, produk!$A:$A)</f>
        <v>14</v>
      </c>
      <c r="E53">
        <f>_xlfn.XLOOKUP(B53, jenis_pekerjaan!$B:$B, jenis_pekerjaan!$A:$A)</f>
        <v>1</v>
      </c>
      <c r="F53" s="7">
        <v>0.108</v>
      </c>
      <c r="G53">
        <f t="shared" si="0"/>
        <v>0.1</v>
      </c>
    </row>
    <row r="54" spans="1:7" x14ac:dyDescent="0.35">
      <c r="D54">
        <f>_xlfn.XLOOKUP(A54, produk!$B:$B, produk!$A:$A)</f>
        <v>0</v>
      </c>
      <c r="E54">
        <f>_xlfn.XLOOKUP(B54, jenis_pekerjaan!$B:$B, jenis_pekerjaan!$A:$A)</f>
        <v>0</v>
      </c>
      <c r="F54" s="7"/>
      <c r="G54">
        <f t="shared" si="0"/>
        <v>0</v>
      </c>
    </row>
    <row r="55" spans="1:7" x14ac:dyDescent="0.35">
      <c r="A55" t="s">
        <v>15</v>
      </c>
      <c r="B55" t="s">
        <v>120</v>
      </c>
      <c r="C55" s="3">
        <v>5600</v>
      </c>
      <c r="D55">
        <f>_xlfn.XLOOKUP(A55, produk!$B:$B, produk!$A:$A)</f>
        <v>15</v>
      </c>
      <c r="E55">
        <f>_xlfn.XLOOKUP(B55, jenis_pekerjaan!$B:$B, jenis_pekerjaan!$A:$A)</f>
        <v>1</v>
      </c>
      <c r="F55" s="7">
        <v>6.7500000000000004E-2</v>
      </c>
      <c r="G55">
        <f t="shared" si="0"/>
        <v>0.06</v>
      </c>
    </row>
    <row r="56" spans="1:7" x14ac:dyDescent="0.35">
      <c r="D56">
        <f>_xlfn.XLOOKUP(A56, produk!$B:$B, produk!$A:$A)</f>
        <v>0</v>
      </c>
      <c r="E56">
        <f>_xlfn.XLOOKUP(B56, jenis_pekerjaan!$B:$B, jenis_pekerjaan!$A:$A)</f>
        <v>0</v>
      </c>
      <c r="F56" s="7"/>
      <c r="G56">
        <f t="shared" si="0"/>
        <v>0</v>
      </c>
    </row>
    <row r="57" spans="1:7" x14ac:dyDescent="0.35">
      <c r="A57" t="s">
        <v>16</v>
      </c>
      <c r="B57" t="s">
        <v>120</v>
      </c>
      <c r="C57" s="3">
        <v>5600</v>
      </c>
      <c r="D57">
        <f>_xlfn.XLOOKUP(A57, produk!$B:$B, produk!$A:$A)</f>
        <v>16</v>
      </c>
      <c r="E57">
        <f>_xlfn.XLOOKUP(B57, jenis_pekerjaan!$B:$B, jenis_pekerjaan!$A:$A)</f>
        <v>1</v>
      </c>
      <c r="F57" s="7">
        <v>6.7500000000000004E-2</v>
      </c>
      <c r="G57">
        <f t="shared" si="0"/>
        <v>0.06</v>
      </c>
    </row>
    <row r="58" spans="1:7" x14ac:dyDescent="0.35">
      <c r="D58">
        <f>_xlfn.XLOOKUP(A58, produk!$B:$B, produk!$A:$A)</f>
        <v>0</v>
      </c>
      <c r="E58">
        <f>_xlfn.XLOOKUP(B58, jenis_pekerjaan!$B:$B, jenis_pekerjaan!$A:$A)</f>
        <v>0</v>
      </c>
      <c r="F58" s="7"/>
      <c r="G58">
        <f t="shared" si="0"/>
        <v>0</v>
      </c>
    </row>
    <row r="59" spans="1:7" x14ac:dyDescent="0.35">
      <c r="A59" t="s">
        <v>17</v>
      </c>
      <c r="B59" t="s">
        <v>120</v>
      </c>
      <c r="C59" s="3">
        <v>4400</v>
      </c>
      <c r="D59">
        <f>_xlfn.XLOOKUP(A59, produk!$B:$B, produk!$A:$A)</f>
        <v>17</v>
      </c>
      <c r="E59">
        <f>_xlfn.XLOOKUP(B59, jenis_pekerjaan!$B:$B, jenis_pekerjaan!$A:$A)</f>
        <v>1</v>
      </c>
      <c r="F59" s="7">
        <v>8.5909090909999999E-2</v>
      </c>
      <c r="G59">
        <f t="shared" si="0"/>
        <v>0.08</v>
      </c>
    </row>
    <row r="60" spans="1:7" x14ac:dyDescent="0.35">
      <c r="A60" t="s">
        <v>17</v>
      </c>
      <c r="B60" t="s">
        <v>121</v>
      </c>
      <c r="D60">
        <f>_xlfn.XLOOKUP(A60, produk!$B:$B, produk!$A:$A)</f>
        <v>17</v>
      </c>
      <c r="E60">
        <f>_xlfn.XLOOKUP(B60, jenis_pekerjaan!$B:$B, jenis_pekerjaan!$A:$A)</f>
        <v>2</v>
      </c>
      <c r="F60" s="7">
        <v>8.5909090909999999E-2</v>
      </c>
      <c r="G60">
        <f t="shared" si="0"/>
        <v>0.08</v>
      </c>
    </row>
    <row r="61" spans="1:7" x14ac:dyDescent="0.35">
      <c r="A61" t="s">
        <v>17</v>
      </c>
      <c r="B61" t="s">
        <v>124</v>
      </c>
      <c r="D61">
        <f>_xlfn.XLOOKUP(A61, produk!$B:$B, produk!$A:$A)</f>
        <v>17</v>
      </c>
      <c r="E61">
        <f>_xlfn.XLOOKUP(B61, jenis_pekerjaan!$B:$B, jenis_pekerjaan!$A:$A)</f>
        <v>5</v>
      </c>
      <c r="F61" s="7">
        <v>0.13500000000000001</v>
      </c>
      <c r="G61">
        <f t="shared" si="0"/>
        <v>0.13</v>
      </c>
    </row>
    <row r="62" spans="1:7" x14ac:dyDescent="0.35">
      <c r="D62">
        <f>_xlfn.XLOOKUP(A62, produk!$B:$B, produk!$A:$A)</f>
        <v>0</v>
      </c>
      <c r="E62">
        <f>_xlfn.XLOOKUP(B62, jenis_pekerjaan!$B:$B, jenis_pekerjaan!$A:$A)</f>
        <v>0</v>
      </c>
      <c r="F62" s="8"/>
      <c r="G62">
        <f t="shared" si="0"/>
        <v>0</v>
      </c>
    </row>
    <row r="63" spans="1:7" x14ac:dyDescent="0.35">
      <c r="A63" t="s">
        <v>18</v>
      </c>
      <c r="B63" t="s">
        <v>120</v>
      </c>
      <c r="C63" s="3">
        <v>4500</v>
      </c>
      <c r="D63">
        <f>_xlfn.XLOOKUP(A63, produk!$B:$B, produk!$A:$A)</f>
        <v>18</v>
      </c>
      <c r="E63">
        <f>_xlfn.XLOOKUP(B63, jenis_pekerjaan!$B:$B, jenis_pekerjaan!$A:$A)</f>
        <v>1</v>
      </c>
      <c r="F63" s="7" t="s">
        <v>215</v>
      </c>
      <c r="G63" t="e">
        <f t="shared" si="0"/>
        <v>#VALUE!</v>
      </c>
    </row>
    <row r="64" spans="1:7" x14ac:dyDescent="0.35">
      <c r="A64" t="s">
        <v>18</v>
      </c>
      <c r="B64" t="s">
        <v>121</v>
      </c>
      <c r="D64">
        <f>_xlfn.XLOOKUP(A64, produk!$B:$B, produk!$A:$A)</f>
        <v>18</v>
      </c>
      <c r="E64">
        <f>_xlfn.XLOOKUP(B64, jenis_pekerjaan!$B:$B, jenis_pekerjaan!$A:$A)</f>
        <v>2</v>
      </c>
      <c r="F64" s="7">
        <v>8.4000000000000005E-2</v>
      </c>
      <c r="G64">
        <f t="shared" si="0"/>
        <v>0.08</v>
      </c>
    </row>
    <row r="65" spans="1:7" x14ac:dyDescent="0.35">
      <c r="D65">
        <f>_xlfn.XLOOKUP(A65, produk!$B:$B, produk!$A:$A)</f>
        <v>0</v>
      </c>
      <c r="E65">
        <f>_xlfn.XLOOKUP(B65, jenis_pekerjaan!$B:$B, jenis_pekerjaan!$A:$A)</f>
        <v>0</v>
      </c>
      <c r="F65" s="8"/>
      <c r="G65">
        <f t="shared" si="0"/>
        <v>0</v>
      </c>
    </row>
    <row r="66" spans="1:7" x14ac:dyDescent="0.35">
      <c r="A66" t="s">
        <v>19</v>
      </c>
      <c r="B66" t="s">
        <v>120</v>
      </c>
      <c r="C66" s="3">
        <v>3500</v>
      </c>
      <c r="D66">
        <f>_xlfn.XLOOKUP(A66, produk!$B:$B, produk!$A:$A)</f>
        <v>19</v>
      </c>
      <c r="E66">
        <f>_xlfn.XLOOKUP(B66, jenis_pekerjaan!$B:$B, jenis_pekerjaan!$A:$A)</f>
        <v>1</v>
      </c>
      <c r="F66" s="7">
        <v>0.108</v>
      </c>
      <c r="G66">
        <f t="shared" si="0"/>
        <v>0.1</v>
      </c>
    </row>
    <row r="67" spans="1:7" x14ac:dyDescent="0.35">
      <c r="D67">
        <f>_xlfn.XLOOKUP(A67, produk!$B:$B, produk!$A:$A)</f>
        <v>0</v>
      </c>
      <c r="E67">
        <f>_xlfn.XLOOKUP(B67, jenis_pekerjaan!$B:$B, jenis_pekerjaan!$A:$A)</f>
        <v>0</v>
      </c>
      <c r="F67" s="7"/>
      <c r="G67">
        <f t="shared" ref="G67:G130" si="1">ROUNDDOWN(F67,2)</f>
        <v>0</v>
      </c>
    </row>
    <row r="68" spans="1:7" x14ac:dyDescent="0.35">
      <c r="A68" t="s">
        <v>20</v>
      </c>
      <c r="B68" t="s">
        <v>120</v>
      </c>
      <c r="C68" s="3">
        <v>3500</v>
      </c>
      <c r="D68">
        <f>_xlfn.XLOOKUP(A68, produk!$B:$B, produk!$A:$A)</f>
        <v>20</v>
      </c>
      <c r="E68">
        <f>_xlfn.XLOOKUP(B68, jenis_pekerjaan!$B:$B, jenis_pekerjaan!$A:$A)</f>
        <v>1</v>
      </c>
      <c r="F68" s="7">
        <v>0.108</v>
      </c>
      <c r="G68">
        <f t="shared" si="1"/>
        <v>0.1</v>
      </c>
    </row>
    <row r="69" spans="1:7" x14ac:dyDescent="0.35">
      <c r="D69">
        <f>_xlfn.XLOOKUP(A69, produk!$B:$B, produk!$A:$A)</f>
        <v>0</v>
      </c>
      <c r="E69">
        <f>_xlfn.XLOOKUP(B69, jenis_pekerjaan!$B:$B, jenis_pekerjaan!$A:$A)</f>
        <v>0</v>
      </c>
      <c r="F69" s="7"/>
      <c r="G69">
        <f t="shared" si="1"/>
        <v>0</v>
      </c>
    </row>
    <row r="70" spans="1:7" x14ac:dyDescent="0.35">
      <c r="A70" t="s">
        <v>21</v>
      </c>
      <c r="B70" t="s">
        <v>120</v>
      </c>
      <c r="C70" s="3">
        <v>3500</v>
      </c>
      <c r="D70">
        <f>_xlfn.XLOOKUP(A70, produk!$B:$B, produk!$A:$A)</f>
        <v>21</v>
      </c>
      <c r="E70">
        <f>_xlfn.XLOOKUP(B70, jenis_pekerjaan!$B:$B, jenis_pekerjaan!$A:$A)</f>
        <v>1</v>
      </c>
      <c r="F70" s="7">
        <v>0.108</v>
      </c>
      <c r="G70">
        <f t="shared" si="1"/>
        <v>0.1</v>
      </c>
    </row>
    <row r="71" spans="1:7" x14ac:dyDescent="0.35">
      <c r="D71">
        <f>_xlfn.XLOOKUP(A71, produk!$B:$B, produk!$A:$A)</f>
        <v>0</v>
      </c>
      <c r="E71">
        <f>_xlfn.XLOOKUP(B71, jenis_pekerjaan!$B:$B, jenis_pekerjaan!$A:$A)</f>
        <v>0</v>
      </c>
      <c r="F71" s="8"/>
      <c r="G71">
        <f t="shared" si="1"/>
        <v>0</v>
      </c>
    </row>
    <row r="72" spans="1:7" x14ac:dyDescent="0.35">
      <c r="A72" t="s">
        <v>22</v>
      </c>
      <c r="B72" t="s">
        <v>120</v>
      </c>
      <c r="C72" s="3">
        <v>3780</v>
      </c>
      <c r="D72">
        <f>_xlfn.XLOOKUP(A72, produk!$B:$B, produk!$A:$A)</f>
        <v>22</v>
      </c>
      <c r="E72">
        <f>_xlfn.XLOOKUP(B72, jenis_pekerjaan!$B:$B, jenis_pekerjaan!$A:$A)</f>
        <v>1</v>
      </c>
      <c r="F72" s="7" t="s">
        <v>216</v>
      </c>
      <c r="G72" t="e">
        <f t="shared" si="1"/>
        <v>#VALUE!</v>
      </c>
    </row>
    <row r="73" spans="1:7" x14ac:dyDescent="0.35">
      <c r="A73" t="s">
        <v>22</v>
      </c>
      <c r="B73" t="s">
        <v>135</v>
      </c>
      <c r="C73" s="3">
        <v>550</v>
      </c>
      <c r="D73">
        <f>_xlfn.XLOOKUP(A73, produk!$B:$B, produk!$A:$A)</f>
        <v>22</v>
      </c>
      <c r="E73">
        <f>_xlfn.XLOOKUP(B73, jenis_pekerjaan!$B:$B, jenis_pekerjaan!$A:$A)</f>
        <v>16</v>
      </c>
      <c r="F73" s="7">
        <v>0.6872727273</v>
      </c>
      <c r="G73">
        <f t="shared" si="1"/>
        <v>0.68</v>
      </c>
    </row>
    <row r="74" spans="1:7" x14ac:dyDescent="0.35">
      <c r="A74" t="s">
        <v>22</v>
      </c>
      <c r="B74" t="s">
        <v>121</v>
      </c>
      <c r="C74" s="3">
        <v>3780</v>
      </c>
      <c r="D74">
        <f>_xlfn.XLOOKUP(A74, produk!$B:$B, produk!$A:$A)</f>
        <v>22</v>
      </c>
      <c r="E74">
        <f>_xlfn.XLOOKUP(B74, jenis_pekerjaan!$B:$B, jenis_pekerjaan!$A:$A)</f>
        <v>2</v>
      </c>
      <c r="F74" s="7">
        <v>0.1</v>
      </c>
      <c r="G74">
        <f t="shared" si="1"/>
        <v>0.1</v>
      </c>
    </row>
    <row r="75" spans="1:7" x14ac:dyDescent="0.35">
      <c r="D75">
        <f>_xlfn.XLOOKUP(A75, produk!$B:$B, produk!$A:$A)</f>
        <v>0</v>
      </c>
      <c r="E75">
        <f>_xlfn.XLOOKUP(B75, jenis_pekerjaan!$B:$B, jenis_pekerjaan!$A:$A)</f>
        <v>0</v>
      </c>
      <c r="F75" s="7"/>
      <c r="G75">
        <f t="shared" si="1"/>
        <v>0</v>
      </c>
    </row>
    <row r="76" spans="1:7" x14ac:dyDescent="0.35">
      <c r="A76" t="s">
        <v>23</v>
      </c>
      <c r="B76" t="s">
        <v>120</v>
      </c>
      <c r="C76" s="3">
        <v>3400</v>
      </c>
      <c r="D76">
        <f>_xlfn.XLOOKUP(A76, produk!$B:$B, produk!$A:$A)</f>
        <v>23</v>
      </c>
      <c r="E76">
        <f>_xlfn.XLOOKUP(B76, jenis_pekerjaan!$B:$B, jenis_pekerjaan!$A:$A)</f>
        <v>1</v>
      </c>
      <c r="F76" s="7">
        <v>0.11117647059999999</v>
      </c>
      <c r="G76">
        <f t="shared" si="1"/>
        <v>0.11</v>
      </c>
    </row>
    <row r="77" spans="1:7" x14ac:dyDescent="0.35">
      <c r="A77" t="s">
        <v>23</v>
      </c>
      <c r="B77" t="s">
        <v>121</v>
      </c>
      <c r="C77" s="3">
        <v>3150</v>
      </c>
      <c r="D77">
        <f>_xlfn.XLOOKUP(A77, produk!$B:$B, produk!$A:$A)</f>
        <v>23</v>
      </c>
      <c r="E77">
        <f>_xlfn.XLOOKUP(B77, jenis_pekerjaan!$B:$B, jenis_pekerjaan!$A:$A)</f>
        <v>2</v>
      </c>
      <c r="F77" s="7">
        <v>0.12</v>
      </c>
      <c r="G77">
        <f t="shared" si="1"/>
        <v>0.12</v>
      </c>
    </row>
    <row r="78" spans="1:7" x14ac:dyDescent="0.35">
      <c r="D78">
        <f>_xlfn.XLOOKUP(A78, produk!$B:$B, produk!$A:$A)</f>
        <v>0</v>
      </c>
      <c r="E78">
        <f>_xlfn.XLOOKUP(B78, jenis_pekerjaan!$B:$B, jenis_pekerjaan!$A:$A)</f>
        <v>0</v>
      </c>
      <c r="F78" s="7"/>
      <c r="G78">
        <f t="shared" si="1"/>
        <v>0</v>
      </c>
    </row>
    <row r="79" spans="1:7" x14ac:dyDescent="0.35">
      <c r="A79" t="s">
        <v>24</v>
      </c>
      <c r="B79" t="s">
        <v>120</v>
      </c>
      <c r="C79" s="3">
        <v>3500</v>
      </c>
      <c r="D79">
        <f>_xlfn.XLOOKUP(A79, produk!$B:$B, produk!$A:$A)</f>
        <v>24</v>
      </c>
      <c r="E79">
        <f>_xlfn.XLOOKUP(B79, jenis_pekerjaan!$B:$B, jenis_pekerjaan!$A:$A)</f>
        <v>1</v>
      </c>
      <c r="F79" s="7">
        <v>0.108</v>
      </c>
      <c r="G79">
        <f t="shared" si="1"/>
        <v>0.1</v>
      </c>
    </row>
    <row r="80" spans="1:7" x14ac:dyDescent="0.35">
      <c r="D80">
        <f>_xlfn.XLOOKUP(A80, produk!$B:$B, produk!$A:$A)</f>
        <v>0</v>
      </c>
      <c r="E80">
        <f>_xlfn.XLOOKUP(B80, jenis_pekerjaan!$B:$B, jenis_pekerjaan!$A:$A)</f>
        <v>0</v>
      </c>
      <c r="F80" s="8"/>
      <c r="G80">
        <f t="shared" si="1"/>
        <v>0</v>
      </c>
    </row>
    <row r="81" spans="1:7" x14ac:dyDescent="0.35">
      <c r="A81" t="s">
        <v>25</v>
      </c>
      <c r="B81" t="s">
        <v>120</v>
      </c>
      <c r="C81" s="3">
        <v>4500</v>
      </c>
      <c r="D81">
        <f>_xlfn.XLOOKUP(A81, produk!$B:$B, produk!$A:$A)</f>
        <v>25</v>
      </c>
      <c r="E81">
        <f>_xlfn.XLOOKUP(B81, jenis_pekerjaan!$B:$B, jenis_pekerjaan!$A:$A)</f>
        <v>1</v>
      </c>
      <c r="F81" s="7" t="s">
        <v>217</v>
      </c>
      <c r="G81" t="e">
        <f t="shared" si="1"/>
        <v>#VALUE!</v>
      </c>
    </row>
    <row r="82" spans="1:7" x14ac:dyDescent="0.35">
      <c r="A82" t="s">
        <v>25</v>
      </c>
      <c r="B82" t="s">
        <v>121</v>
      </c>
      <c r="D82">
        <f>_xlfn.XLOOKUP(A82, produk!$B:$B, produk!$A:$A)</f>
        <v>25</v>
      </c>
      <c r="E82">
        <f>_xlfn.XLOOKUP(B82, jenis_pekerjaan!$B:$B, jenis_pekerjaan!$A:$A)</f>
        <v>2</v>
      </c>
      <c r="F82" s="7">
        <v>8.4000000000000005E-2</v>
      </c>
      <c r="G82">
        <f t="shared" si="1"/>
        <v>0.08</v>
      </c>
    </row>
    <row r="83" spans="1:7" x14ac:dyDescent="0.35">
      <c r="D83">
        <f>_xlfn.XLOOKUP(A83, produk!$B:$B, produk!$A:$A)</f>
        <v>0</v>
      </c>
      <c r="E83">
        <f>_xlfn.XLOOKUP(B83, jenis_pekerjaan!$B:$B, jenis_pekerjaan!$A:$A)</f>
        <v>0</v>
      </c>
      <c r="F83" s="8"/>
      <c r="G83">
        <f t="shared" si="1"/>
        <v>0</v>
      </c>
    </row>
    <row r="84" spans="1:7" x14ac:dyDescent="0.35">
      <c r="A84" t="s">
        <v>26</v>
      </c>
      <c r="B84" t="s">
        <v>120</v>
      </c>
      <c r="C84" s="3">
        <v>4500</v>
      </c>
      <c r="D84">
        <f>_xlfn.XLOOKUP(A84, produk!$B:$B, produk!$A:$A)</f>
        <v>26</v>
      </c>
      <c r="E84">
        <f>_xlfn.XLOOKUP(B84, jenis_pekerjaan!$B:$B, jenis_pekerjaan!$A:$A)</f>
        <v>1</v>
      </c>
      <c r="F84" s="7" t="s">
        <v>218</v>
      </c>
      <c r="G84" t="e">
        <f t="shared" si="1"/>
        <v>#VALUE!</v>
      </c>
    </row>
    <row r="85" spans="1:7" x14ac:dyDescent="0.35">
      <c r="A85" t="s">
        <v>26</v>
      </c>
      <c r="B85" t="s">
        <v>121</v>
      </c>
      <c r="C85" s="3">
        <v>5000</v>
      </c>
      <c r="D85">
        <f>_xlfn.XLOOKUP(A85, produk!$B:$B, produk!$A:$A)</f>
        <v>26</v>
      </c>
      <c r="E85">
        <f>_xlfn.XLOOKUP(B85, jenis_pekerjaan!$B:$B, jenis_pekerjaan!$A:$A)</f>
        <v>2</v>
      </c>
      <c r="F85" s="7">
        <v>7.5600000000000001E-2</v>
      </c>
      <c r="G85">
        <f t="shared" si="1"/>
        <v>7.0000000000000007E-2</v>
      </c>
    </row>
    <row r="86" spans="1:7" x14ac:dyDescent="0.35">
      <c r="A86" t="s">
        <v>26</v>
      </c>
      <c r="B86" t="s">
        <v>135</v>
      </c>
      <c r="C86" s="3">
        <v>1050</v>
      </c>
      <c r="D86">
        <f>_xlfn.XLOOKUP(A86, produk!$B:$B, produk!$A:$A)</f>
        <v>26</v>
      </c>
      <c r="E86">
        <f>_xlfn.XLOOKUP(B86, jenis_pekerjaan!$B:$B, jenis_pekerjaan!$A:$A)</f>
        <v>16</v>
      </c>
      <c r="F86" s="7">
        <v>0.36</v>
      </c>
      <c r="G86">
        <f t="shared" si="1"/>
        <v>0.36</v>
      </c>
    </row>
    <row r="87" spans="1:7" x14ac:dyDescent="0.35">
      <c r="A87" t="s">
        <v>26</v>
      </c>
      <c r="B87" t="s">
        <v>124</v>
      </c>
      <c r="D87">
        <f>_xlfn.XLOOKUP(A87, produk!$B:$B, produk!$A:$A)</f>
        <v>26</v>
      </c>
      <c r="E87">
        <f>_xlfn.XLOOKUP(B87, jenis_pekerjaan!$B:$B, jenis_pekerjaan!$A:$A)</f>
        <v>5</v>
      </c>
      <c r="F87" s="7">
        <v>0.14000000000000001</v>
      </c>
      <c r="G87">
        <f t="shared" si="1"/>
        <v>0.14000000000000001</v>
      </c>
    </row>
    <row r="88" spans="1:7" x14ac:dyDescent="0.35">
      <c r="A88" t="s">
        <v>26</v>
      </c>
      <c r="B88" t="s">
        <v>138</v>
      </c>
      <c r="D88">
        <f>_xlfn.XLOOKUP(A88, produk!$B:$B, produk!$A:$A)</f>
        <v>26</v>
      </c>
      <c r="E88">
        <f>_xlfn.XLOOKUP(B88, jenis_pekerjaan!$B:$B, jenis_pekerjaan!$A:$A)</f>
        <v>19</v>
      </c>
      <c r="F88" s="7">
        <v>0.189</v>
      </c>
      <c r="G88">
        <f t="shared" si="1"/>
        <v>0.18</v>
      </c>
    </row>
    <row r="89" spans="1:7" x14ac:dyDescent="0.35">
      <c r="D89">
        <f>_xlfn.XLOOKUP(A89, produk!$B:$B, produk!$A:$A)</f>
        <v>0</v>
      </c>
      <c r="E89">
        <f>_xlfn.XLOOKUP(B89, jenis_pekerjaan!$B:$B, jenis_pekerjaan!$A:$A)</f>
        <v>0</v>
      </c>
      <c r="F89" s="8"/>
      <c r="G89">
        <f t="shared" si="1"/>
        <v>0</v>
      </c>
    </row>
    <row r="90" spans="1:7" x14ac:dyDescent="0.35">
      <c r="A90" t="s">
        <v>27</v>
      </c>
      <c r="B90" t="s">
        <v>120</v>
      </c>
      <c r="C90" s="3">
        <v>4500</v>
      </c>
      <c r="D90">
        <f>_xlfn.XLOOKUP(A90, produk!$B:$B, produk!$A:$A)</f>
        <v>27</v>
      </c>
      <c r="E90">
        <f>_xlfn.XLOOKUP(B90, jenis_pekerjaan!$B:$B, jenis_pekerjaan!$A:$A)</f>
        <v>1</v>
      </c>
      <c r="F90" s="7" t="s">
        <v>219</v>
      </c>
      <c r="G90" t="e">
        <f t="shared" si="1"/>
        <v>#VALUE!</v>
      </c>
    </row>
    <row r="91" spans="1:7" x14ac:dyDescent="0.35">
      <c r="A91" t="s">
        <v>27</v>
      </c>
      <c r="B91" t="s">
        <v>121</v>
      </c>
      <c r="C91" s="3">
        <v>800</v>
      </c>
      <c r="D91">
        <f>_xlfn.XLOOKUP(A91, produk!$B:$B, produk!$A:$A)</f>
        <v>27</v>
      </c>
      <c r="E91">
        <f>_xlfn.XLOOKUP(B91, jenis_pekerjaan!$B:$B, jenis_pekerjaan!$A:$A)</f>
        <v>2</v>
      </c>
      <c r="F91" s="7">
        <v>0.47249999999999998</v>
      </c>
      <c r="G91">
        <f t="shared" si="1"/>
        <v>0.47</v>
      </c>
    </row>
    <row r="92" spans="1:7" x14ac:dyDescent="0.35">
      <c r="A92" t="s">
        <v>27</v>
      </c>
      <c r="B92" t="s">
        <v>124</v>
      </c>
      <c r="C92" s="3">
        <v>1400</v>
      </c>
      <c r="D92">
        <f>_xlfn.XLOOKUP(A92, produk!$B:$B, produk!$A:$A)</f>
        <v>27</v>
      </c>
      <c r="E92">
        <f>_xlfn.XLOOKUP(B92, jenis_pekerjaan!$B:$B, jenis_pekerjaan!$A:$A)</f>
        <v>5</v>
      </c>
      <c r="F92" s="7">
        <v>0.27</v>
      </c>
      <c r="G92">
        <f t="shared" si="1"/>
        <v>0.27</v>
      </c>
    </row>
    <row r="93" spans="1:7" x14ac:dyDescent="0.35">
      <c r="A93" t="s">
        <v>27</v>
      </c>
      <c r="B93" t="s">
        <v>165</v>
      </c>
      <c r="D93">
        <f>_xlfn.XLOOKUP(A93, produk!$B:$B, produk!$A:$A)</f>
        <v>27</v>
      </c>
      <c r="E93">
        <f>_xlfn.XLOOKUP(B93, jenis_pekerjaan!$B:$B, jenis_pekerjaan!$A:$A)</f>
        <v>46</v>
      </c>
      <c r="F93" s="7">
        <v>0.378</v>
      </c>
      <c r="G93">
        <f t="shared" si="1"/>
        <v>0.37</v>
      </c>
    </row>
    <row r="94" spans="1:7" x14ac:dyDescent="0.35">
      <c r="D94">
        <f>_xlfn.XLOOKUP(A94, produk!$B:$B, produk!$A:$A)</f>
        <v>0</v>
      </c>
      <c r="E94">
        <f>_xlfn.XLOOKUP(B94, jenis_pekerjaan!$B:$B, jenis_pekerjaan!$A:$A)</f>
        <v>0</v>
      </c>
      <c r="F94" s="8"/>
      <c r="G94">
        <f t="shared" si="1"/>
        <v>0</v>
      </c>
    </row>
    <row r="95" spans="1:7" x14ac:dyDescent="0.35">
      <c r="A95" t="s">
        <v>28</v>
      </c>
      <c r="B95" t="s">
        <v>120</v>
      </c>
      <c r="C95" s="3">
        <v>5670</v>
      </c>
      <c r="D95">
        <f>_xlfn.XLOOKUP(A95, produk!$B:$B, produk!$A:$A)</f>
        <v>28</v>
      </c>
      <c r="E95">
        <f>_xlfn.XLOOKUP(B95, jenis_pekerjaan!$B:$B, jenis_pekerjaan!$A:$A)</f>
        <v>1</v>
      </c>
      <c r="F95" s="7">
        <v>6.6666666669999999E-2</v>
      </c>
      <c r="G95">
        <f t="shared" si="1"/>
        <v>0.06</v>
      </c>
    </row>
    <row r="96" spans="1:7" x14ac:dyDescent="0.35">
      <c r="A96" t="s">
        <v>28</v>
      </c>
      <c r="B96" t="s">
        <v>121</v>
      </c>
      <c r="C96" s="3">
        <v>4500</v>
      </c>
      <c r="D96">
        <f>_xlfn.XLOOKUP(A96, produk!$B:$B, produk!$A:$A)</f>
        <v>28</v>
      </c>
      <c r="E96">
        <f>_xlfn.XLOOKUP(B96, jenis_pekerjaan!$B:$B, jenis_pekerjaan!$A:$A)</f>
        <v>2</v>
      </c>
      <c r="F96" s="7">
        <v>8.4000000000000005E-2</v>
      </c>
      <c r="G96">
        <f t="shared" si="1"/>
        <v>0.08</v>
      </c>
    </row>
    <row r="97" spans="1:7" x14ac:dyDescent="0.35">
      <c r="D97">
        <f>_xlfn.XLOOKUP(A97, produk!$B:$B, produk!$A:$A)</f>
        <v>0</v>
      </c>
      <c r="E97">
        <f>_xlfn.XLOOKUP(B97, jenis_pekerjaan!$B:$B, jenis_pekerjaan!$A:$A)</f>
        <v>0</v>
      </c>
      <c r="F97" s="8"/>
      <c r="G97">
        <f t="shared" si="1"/>
        <v>0</v>
      </c>
    </row>
    <row r="98" spans="1:7" x14ac:dyDescent="0.35">
      <c r="A98" t="s">
        <v>29</v>
      </c>
      <c r="B98" t="s">
        <v>120</v>
      </c>
      <c r="C98" s="3">
        <v>4400</v>
      </c>
      <c r="D98">
        <f>_xlfn.XLOOKUP(A98, produk!$B:$B, produk!$A:$A)</f>
        <v>29</v>
      </c>
      <c r="E98">
        <f>_xlfn.XLOOKUP(B98, jenis_pekerjaan!$B:$B, jenis_pekerjaan!$A:$A)</f>
        <v>1</v>
      </c>
      <c r="F98" s="7" t="s">
        <v>220</v>
      </c>
      <c r="G98" t="e">
        <f t="shared" si="1"/>
        <v>#VALUE!</v>
      </c>
    </row>
    <row r="99" spans="1:7" x14ac:dyDescent="0.35">
      <c r="A99" t="s">
        <v>29</v>
      </c>
      <c r="B99" t="s">
        <v>121</v>
      </c>
      <c r="D99">
        <f>_xlfn.XLOOKUP(A99, produk!$B:$B, produk!$A:$A)</f>
        <v>29</v>
      </c>
      <c r="E99">
        <f>_xlfn.XLOOKUP(B99, jenis_pekerjaan!$B:$B, jenis_pekerjaan!$A:$A)</f>
        <v>2</v>
      </c>
      <c r="F99" s="7">
        <v>8.5909090909999999E-2</v>
      </c>
      <c r="G99">
        <f t="shared" si="1"/>
        <v>0.08</v>
      </c>
    </row>
    <row r="100" spans="1:7" x14ac:dyDescent="0.35">
      <c r="D100">
        <f>_xlfn.XLOOKUP(A100, produk!$B:$B, produk!$A:$A)</f>
        <v>0</v>
      </c>
      <c r="E100">
        <f>_xlfn.XLOOKUP(B100, jenis_pekerjaan!$B:$B, jenis_pekerjaan!$A:$A)</f>
        <v>0</v>
      </c>
      <c r="F100" s="8"/>
      <c r="G100">
        <f t="shared" si="1"/>
        <v>0</v>
      </c>
    </row>
    <row r="101" spans="1:7" x14ac:dyDescent="0.35">
      <c r="A101" t="s">
        <v>30</v>
      </c>
      <c r="B101" t="s">
        <v>120</v>
      </c>
      <c r="C101" s="3">
        <v>4500</v>
      </c>
      <c r="D101">
        <f>_xlfn.XLOOKUP(A101, produk!$B:$B, produk!$A:$A)</f>
        <v>30</v>
      </c>
      <c r="E101">
        <f>_xlfn.XLOOKUP(B101, jenis_pekerjaan!$B:$B, jenis_pekerjaan!$A:$A)</f>
        <v>1</v>
      </c>
      <c r="F101" s="7" t="s">
        <v>220</v>
      </c>
      <c r="G101" t="e">
        <f t="shared" si="1"/>
        <v>#VALUE!</v>
      </c>
    </row>
    <row r="102" spans="1:7" x14ac:dyDescent="0.35">
      <c r="A102" t="s">
        <v>30</v>
      </c>
      <c r="B102" t="s">
        <v>121</v>
      </c>
      <c r="D102">
        <f>_xlfn.XLOOKUP(A102, produk!$B:$B, produk!$A:$A)</f>
        <v>30</v>
      </c>
      <c r="E102">
        <f>_xlfn.XLOOKUP(B102, jenis_pekerjaan!$B:$B, jenis_pekerjaan!$A:$A)</f>
        <v>2</v>
      </c>
      <c r="F102" s="7">
        <v>8.4000000000000005E-2</v>
      </c>
      <c r="G102">
        <f t="shared" si="1"/>
        <v>0.08</v>
      </c>
    </row>
    <row r="103" spans="1:7" x14ac:dyDescent="0.35">
      <c r="A103" t="s">
        <v>30</v>
      </c>
      <c r="B103" t="s">
        <v>124</v>
      </c>
      <c r="C103" s="3">
        <v>700</v>
      </c>
      <c r="D103">
        <f>_xlfn.XLOOKUP(A103, produk!$B:$B, produk!$A:$A)</f>
        <v>30</v>
      </c>
      <c r="E103">
        <f>_xlfn.XLOOKUP(B103, jenis_pekerjaan!$B:$B, jenis_pekerjaan!$A:$A)</f>
        <v>5</v>
      </c>
      <c r="F103" s="7">
        <v>0.54</v>
      </c>
      <c r="G103">
        <f t="shared" si="1"/>
        <v>0.54</v>
      </c>
    </row>
    <row r="104" spans="1:7" x14ac:dyDescent="0.35">
      <c r="A104" t="s">
        <v>30</v>
      </c>
      <c r="B104" t="s">
        <v>165</v>
      </c>
      <c r="C104" s="3">
        <v>0</v>
      </c>
      <c r="D104">
        <f>_xlfn.XLOOKUP(A104, produk!$B:$B, produk!$A:$A)</f>
        <v>30</v>
      </c>
      <c r="E104">
        <f>_xlfn.XLOOKUP(B104, jenis_pekerjaan!$B:$B, jenis_pekerjaan!$A:$A)</f>
        <v>46</v>
      </c>
      <c r="F104" s="7" t="s">
        <v>210</v>
      </c>
      <c r="G104" t="e">
        <f t="shared" si="1"/>
        <v>#VALUE!</v>
      </c>
    </row>
    <row r="105" spans="1:7" x14ac:dyDescent="0.35">
      <c r="D105">
        <f>_xlfn.XLOOKUP(A105, produk!$B:$B, produk!$A:$A)</f>
        <v>0</v>
      </c>
      <c r="E105">
        <f>_xlfn.XLOOKUP(B105, jenis_pekerjaan!$B:$B, jenis_pekerjaan!$A:$A)</f>
        <v>0</v>
      </c>
      <c r="F105" s="8"/>
      <c r="G105">
        <f t="shared" si="1"/>
        <v>0</v>
      </c>
    </row>
    <row r="106" spans="1:7" x14ac:dyDescent="0.35">
      <c r="A106" t="s">
        <v>31</v>
      </c>
      <c r="B106" t="s">
        <v>120</v>
      </c>
      <c r="C106" s="3">
        <v>5600</v>
      </c>
      <c r="D106">
        <f>_xlfn.XLOOKUP(A106, produk!$B:$B, produk!$A:$A)</f>
        <v>31</v>
      </c>
      <c r="E106">
        <f>_xlfn.XLOOKUP(B106, jenis_pekerjaan!$B:$B, jenis_pekerjaan!$A:$A)</f>
        <v>1</v>
      </c>
      <c r="F106" s="7">
        <v>6.7500000000000004E-2</v>
      </c>
      <c r="G106">
        <f t="shared" si="1"/>
        <v>0.06</v>
      </c>
    </row>
    <row r="107" spans="1:7" x14ac:dyDescent="0.35">
      <c r="A107" t="s">
        <v>31</v>
      </c>
      <c r="B107" t="s">
        <v>121</v>
      </c>
      <c r="C107" s="3">
        <v>3150</v>
      </c>
      <c r="D107">
        <f>_xlfn.XLOOKUP(A107, produk!$B:$B, produk!$A:$A)</f>
        <v>31</v>
      </c>
      <c r="E107">
        <f>_xlfn.XLOOKUP(B107, jenis_pekerjaan!$B:$B, jenis_pekerjaan!$A:$A)</f>
        <v>2</v>
      </c>
      <c r="F107" s="7">
        <v>0.12</v>
      </c>
      <c r="G107">
        <f t="shared" si="1"/>
        <v>0.12</v>
      </c>
    </row>
    <row r="108" spans="1:7" x14ac:dyDescent="0.35">
      <c r="D108">
        <f>_xlfn.XLOOKUP(A108, produk!$B:$B, produk!$A:$A)</f>
        <v>0</v>
      </c>
      <c r="E108">
        <f>_xlfn.XLOOKUP(B108, jenis_pekerjaan!$B:$B, jenis_pekerjaan!$A:$A)</f>
        <v>0</v>
      </c>
      <c r="F108" s="7"/>
      <c r="G108">
        <f t="shared" si="1"/>
        <v>0</v>
      </c>
    </row>
    <row r="109" spans="1:7" x14ac:dyDescent="0.35">
      <c r="A109" t="s">
        <v>32</v>
      </c>
      <c r="B109" t="s">
        <v>120</v>
      </c>
      <c r="C109" s="3">
        <v>3780</v>
      </c>
      <c r="D109">
        <f>_xlfn.XLOOKUP(A109, produk!$B:$B, produk!$A:$A)</f>
        <v>32</v>
      </c>
      <c r="E109">
        <f>_xlfn.XLOOKUP(B109, jenis_pekerjaan!$B:$B, jenis_pekerjaan!$A:$A)</f>
        <v>1</v>
      </c>
      <c r="F109" s="7">
        <v>0.1</v>
      </c>
      <c r="G109">
        <f t="shared" si="1"/>
        <v>0.1</v>
      </c>
    </row>
    <row r="110" spans="1:7" x14ac:dyDescent="0.35">
      <c r="A110" t="s">
        <v>32</v>
      </c>
      <c r="B110" t="s">
        <v>121</v>
      </c>
      <c r="D110">
        <f>_xlfn.XLOOKUP(A110, produk!$B:$B, produk!$A:$A)</f>
        <v>32</v>
      </c>
      <c r="E110">
        <f>_xlfn.XLOOKUP(B110, jenis_pekerjaan!$B:$B, jenis_pekerjaan!$A:$A)</f>
        <v>2</v>
      </c>
      <c r="F110" s="7">
        <v>0.1</v>
      </c>
      <c r="G110">
        <f t="shared" si="1"/>
        <v>0.1</v>
      </c>
    </row>
    <row r="111" spans="1:7" x14ac:dyDescent="0.35">
      <c r="A111" t="s">
        <v>32</v>
      </c>
      <c r="B111" t="s">
        <v>124</v>
      </c>
      <c r="D111">
        <f>_xlfn.XLOOKUP(A111, produk!$B:$B, produk!$A:$A)</f>
        <v>32</v>
      </c>
      <c r="E111">
        <f>_xlfn.XLOOKUP(B111, jenis_pekerjaan!$B:$B, jenis_pekerjaan!$A:$A)</f>
        <v>5</v>
      </c>
      <c r="F111" s="7">
        <v>0.1512</v>
      </c>
      <c r="G111">
        <f t="shared" si="1"/>
        <v>0.15</v>
      </c>
    </row>
    <row r="112" spans="1:7" x14ac:dyDescent="0.35">
      <c r="D112">
        <f>_xlfn.XLOOKUP(A112, produk!$B:$B, produk!$A:$A)</f>
        <v>0</v>
      </c>
      <c r="E112">
        <f>_xlfn.XLOOKUP(B112, jenis_pekerjaan!$B:$B, jenis_pekerjaan!$A:$A)</f>
        <v>0</v>
      </c>
      <c r="F112" s="7"/>
      <c r="G112">
        <f t="shared" si="1"/>
        <v>0</v>
      </c>
    </row>
    <row r="113" spans="1:7" x14ac:dyDescent="0.35">
      <c r="A113" t="s">
        <v>33</v>
      </c>
      <c r="B113" t="s">
        <v>120</v>
      </c>
      <c r="C113" s="3">
        <v>5600</v>
      </c>
      <c r="D113">
        <f>_xlfn.XLOOKUP(A113, produk!$B:$B, produk!$A:$A)</f>
        <v>33</v>
      </c>
      <c r="E113">
        <f>_xlfn.XLOOKUP(B113, jenis_pekerjaan!$B:$B, jenis_pekerjaan!$A:$A)</f>
        <v>1</v>
      </c>
      <c r="F113" s="7">
        <v>6.7500000000000004E-2</v>
      </c>
      <c r="G113">
        <f t="shared" si="1"/>
        <v>0.06</v>
      </c>
    </row>
    <row r="114" spans="1:7" x14ac:dyDescent="0.35">
      <c r="A114" t="s">
        <v>33</v>
      </c>
      <c r="B114" t="s">
        <v>121</v>
      </c>
      <c r="C114" s="3">
        <v>7560</v>
      </c>
      <c r="D114">
        <f>_xlfn.XLOOKUP(A114, produk!$B:$B, produk!$A:$A)</f>
        <v>33</v>
      </c>
      <c r="E114">
        <f>_xlfn.XLOOKUP(B114, jenis_pekerjaan!$B:$B, jenis_pekerjaan!$A:$A)</f>
        <v>2</v>
      </c>
      <c r="F114" s="7">
        <v>0.05</v>
      </c>
      <c r="G114">
        <f t="shared" si="1"/>
        <v>0.05</v>
      </c>
    </row>
    <row r="115" spans="1:7" x14ac:dyDescent="0.35">
      <c r="A115" t="s">
        <v>33</v>
      </c>
      <c r="B115" t="s">
        <v>124</v>
      </c>
      <c r="C115" s="3">
        <v>2800</v>
      </c>
      <c r="D115">
        <f>_xlfn.XLOOKUP(A115, produk!$B:$B, produk!$A:$A)</f>
        <v>33</v>
      </c>
      <c r="E115">
        <f>_xlfn.XLOOKUP(B115, jenis_pekerjaan!$B:$B, jenis_pekerjaan!$A:$A)</f>
        <v>5</v>
      </c>
      <c r="F115" s="7">
        <v>0.13500000000000001</v>
      </c>
      <c r="G115">
        <f t="shared" si="1"/>
        <v>0.13</v>
      </c>
    </row>
    <row r="116" spans="1:7" x14ac:dyDescent="0.35">
      <c r="A116" t="s">
        <v>33</v>
      </c>
      <c r="B116" t="s">
        <v>135</v>
      </c>
      <c r="C116" s="3">
        <v>1250</v>
      </c>
      <c r="D116">
        <f>_xlfn.XLOOKUP(A116, produk!$B:$B, produk!$A:$A)</f>
        <v>33</v>
      </c>
      <c r="E116">
        <f>_xlfn.XLOOKUP(B116, jenis_pekerjaan!$B:$B, jenis_pekerjaan!$A:$A)</f>
        <v>16</v>
      </c>
      <c r="F116" s="7">
        <v>0.3024</v>
      </c>
      <c r="G116">
        <f t="shared" si="1"/>
        <v>0.3</v>
      </c>
    </row>
    <row r="117" spans="1:7" x14ac:dyDescent="0.35">
      <c r="A117" t="s">
        <v>33</v>
      </c>
      <c r="B117" t="s">
        <v>138</v>
      </c>
      <c r="C117" s="3">
        <v>2800</v>
      </c>
      <c r="D117">
        <f>_xlfn.XLOOKUP(A117, produk!$B:$B, produk!$A:$A)</f>
        <v>33</v>
      </c>
      <c r="E117">
        <f>_xlfn.XLOOKUP(B117, jenis_pekerjaan!$B:$B, jenis_pekerjaan!$A:$A)</f>
        <v>19</v>
      </c>
      <c r="F117" s="7">
        <v>0.13500000000000001</v>
      </c>
      <c r="G117">
        <f t="shared" si="1"/>
        <v>0.13</v>
      </c>
    </row>
    <row r="118" spans="1:7" x14ac:dyDescent="0.35">
      <c r="A118" t="s">
        <v>33</v>
      </c>
      <c r="B118" t="s">
        <v>139</v>
      </c>
      <c r="C118" s="3">
        <v>2800</v>
      </c>
      <c r="D118">
        <f>_xlfn.XLOOKUP(A118, produk!$B:$B, produk!$A:$A)</f>
        <v>33</v>
      </c>
      <c r="E118">
        <f>_xlfn.XLOOKUP(B118, jenis_pekerjaan!$B:$B, jenis_pekerjaan!$A:$A)</f>
        <v>20</v>
      </c>
      <c r="F118" s="7">
        <v>0.13500000000000001</v>
      </c>
      <c r="G118">
        <f t="shared" si="1"/>
        <v>0.13</v>
      </c>
    </row>
    <row r="119" spans="1:7" x14ac:dyDescent="0.35">
      <c r="D119">
        <f>_xlfn.XLOOKUP(A119, produk!$B:$B, produk!$A:$A)</f>
        <v>0</v>
      </c>
      <c r="E119">
        <f>_xlfn.XLOOKUP(B119, jenis_pekerjaan!$B:$B, jenis_pekerjaan!$A:$A)</f>
        <v>0</v>
      </c>
      <c r="F119" s="8"/>
      <c r="G119">
        <f t="shared" si="1"/>
        <v>0</v>
      </c>
    </row>
    <row r="120" spans="1:7" x14ac:dyDescent="0.35">
      <c r="A120" t="s">
        <v>34</v>
      </c>
      <c r="B120" t="s">
        <v>120</v>
      </c>
      <c r="C120" s="3">
        <v>5670</v>
      </c>
      <c r="D120">
        <f>_xlfn.XLOOKUP(A120, produk!$B:$B, produk!$A:$A)</f>
        <v>34</v>
      </c>
      <c r="E120">
        <f>_xlfn.XLOOKUP(B120, jenis_pekerjaan!$B:$B, jenis_pekerjaan!$A:$A)</f>
        <v>1</v>
      </c>
      <c r="F120" s="7" t="s">
        <v>215</v>
      </c>
      <c r="G120" t="e">
        <f t="shared" si="1"/>
        <v>#VALUE!</v>
      </c>
    </row>
    <row r="121" spans="1:7" x14ac:dyDescent="0.35">
      <c r="A121" t="s">
        <v>34</v>
      </c>
      <c r="B121" t="s">
        <v>124</v>
      </c>
      <c r="D121">
        <f>_xlfn.XLOOKUP(A121, produk!$B:$B, produk!$A:$A)</f>
        <v>34</v>
      </c>
      <c r="E121">
        <f>_xlfn.XLOOKUP(B121, jenis_pekerjaan!$B:$B, jenis_pekerjaan!$A:$A)</f>
        <v>5</v>
      </c>
      <c r="F121" s="7">
        <v>0.47249999999999998</v>
      </c>
      <c r="G121">
        <f t="shared" si="1"/>
        <v>0.47</v>
      </c>
    </row>
    <row r="122" spans="1:7" x14ac:dyDescent="0.35">
      <c r="A122" t="s">
        <v>34</v>
      </c>
      <c r="B122" t="s">
        <v>192</v>
      </c>
      <c r="C122" s="3">
        <v>340</v>
      </c>
      <c r="D122">
        <f>_xlfn.XLOOKUP(A122, produk!$B:$B, produk!$A:$A)</f>
        <v>34</v>
      </c>
      <c r="E122">
        <f>_xlfn.XLOOKUP(B122, jenis_pekerjaan!$B:$B, jenis_pekerjaan!$A:$A)</f>
        <v>75</v>
      </c>
      <c r="F122" s="7">
        <v>1.111764706</v>
      </c>
      <c r="G122">
        <f t="shared" si="1"/>
        <v>1.1100000000000001</v>
      </c>
    </row>
    <row r="123" spans="1:7" x14ac:dyDescent="0.35">
      <c r="A123" t="s">
        <v>34</v>
      </c>
      <c r="B123" t="s">
        <v>165</v>
      </c>
      <c r="C123" s="3">
        <v>950</v>
      </c>
      <c r="D123">
        <f>_xlfn.XLOOKUP(A123, produk!$B:$B, produk!$A:$A)</f>
        <v>34</v>
      </c>
      <c r="E123">
        <f>_xlfn.XLOOKUP(B123, jenis_pekerjaan!$B:$B, jenis_pekerjaan!$A:$A)</f>
        <v>46</v>
      </c>
      <c r="F123" s="7">
        <v>0.39789473679999998</v>
      </c>
      <c r="G123">
        <f t="shared" si="1"/>
        <v>0.39</v>
      </c>
    </row>
    <row r="124" spans="1:7" x14ac:dyDescent="0.35">
      <c r="D124">
        <f>_xlfn.XLOOKUP(A124, produk!$B:$B, produk!$A:$A)</f>
        <v>0</v>
      </c>
      <c r="E124">
        <f>_xlfn.XLOOKUP(B124, jenis_pekerjaan!$B:$B, jenis_pekerjaan!$A:$A)</f>
        <v>0</v>
      </c>
      <c r="F124" s="7"/>
      <c r="G124">
        <f t="shared" si="1"/>
        <v>0</v>
      </c>
    </row>
    <row r="125" spans="1:7" x14ac:dyDescent="0.35">
      <c r="A125" t="s">
        <v>35</v>
      </c>
      <c r="B125" t="s">
        <v>120</v>
      </c>
      <c r="C125" s="3">
        <v>4500</v>
      </c>
      <c r="D125">
        <f>_xlfn.XLOOKUP(A125, produk!$B:$B, produk!$A:$A)</f>
        <v>35</v>
      </c>
      <c r="E125">
        <f>_xlfn.XLOOKUP(B125, jenis_pekerjaan!$B:$B, jenis_pekerjaan!$A:$A)</f>
        <v>1</v>
      </c>
      <c r="F125" s="7">
        <v>8.4000000000000005E-2</v>
      </c>
      <c r="G125">
        <f t="shared" si="1"/>
        <v>0.08</v>
      </c>
    </row>
    <row r="126" spans="1:7" x14ac:dyDescent="0.35">
      <c r="A126" t="s">
        <v>35</v>
      </c>
      <c r="B126" t="s">
        <v>121</v>
      </c>
      <c r="C126" s="3">
        <v>1000</v>
      </c>
      <c r="D126">
        <f>_xlfn.XLOOKUP(A126, produk!$B:$B, produk!$A:$A)</f>
        <v>35</v>
      </c>
      <c r="E126">
        <f>_xlfn.XLOOKUP(B126, jenis_pekerjaan!$B:$B, jenis_pekerjaan!$A:$A)</f>
        <v>2</v>
      </c>
      <c r="F126" s="7">
        <v>0.378</v>
      </c>
      <c r="G126">
        <f t="shared" si="1"/>
        <v>0.37</v>
      </c>
    </row>
    <row r="127" spans="1:7" x14ac:dyDescent="0.35">
      <c r="A127" t="s">
        <v>35</v>
      </c>
      <c r="B127" t="s">
        <v>139</v>
      </c>
      <c r="C127" s="3">
        <v>2800</v>
      </c>
      <c r="D127">
        <f>_xlfn.XLOOKUP(A127, produk!$B:$B, produk!$A:$A)</f>
        <v>35</v>
      </c>
      <c r="E127">
        <f>_xlfn.XLOOKUP(B127, jenis_pekerjaan!$B:$B, jenis_pekerjaan!$A:$A)</f>
        <v>20</v>
      </c>
      <c r="F127" s="7">
        <v>0.13500000000000001</v>
      </c>
      <c r="G127">
        <f t="shared" si="1"/>
        <v>0.13</v>
      </c>
    </row>
    <row r="128" spans="1:7" x14ac:dyDescent="0.35">
      <c r="A128" t="s">
        <v>35</v>
      </c>
      <c r="B128" t="s">
        <v>142</v>
      </c>
      <c r="C128" s="3">
        <v>300</v>
      </c>
      <c r="D128">
        <f>_xlfn.XLOOKUP(A128, produk!$B:$B, produk!$A:$A)</f>
        <v>35</v>
      </c>
      <c r="E128">
        <f>_xlfn.XLOOKUP(B128, jenis_pekerjaan!$B:$B, jenis_pekerjaan!$A:$A)</f>
        <v>23</v>
      </c>
      <c r="F128" s="7">
        <v>0.252</v>
      </c>
      <c r="G128">
        <f t="shared" si="1"/>
        <v>0.25</v>
      </c>
    </row>
    <row r="129" spans="1:7" x14ac:dyDescent="0.35">
      <c r="A129" t="s">
        <v>35</v>
      </c>
      <c r="B129" t="s">
        <v>124</v>
      </c>
      <c r="C129" s="3">
        <v>300</v>
      </c>
      <c r="D129">
        <f>_xlfn.XLOOKUP(A129, produk!$B:$B, produk!$A:$A)</f>
        <v>35</v>
      </c>
      <c r="E129">
        <f>_xlfn.XLOOKUP(B129, jenis_pekerjaan!$B:$B, jenis_pekerjaan!$A:$A)</f>
        <v>5</v>
      </c>
      <c r="F129" s="7">
        <v>0.252</v>
      </c>
      <c r="G129">
        <f t="shared" si="1"/>
        <v>0.25</v>
      </c>
    </row>
    <row r="130" spans="1:7" x14ac:dyDescent="0.35">
      <c r="A130" t="s">
        <v>35</v>
      </c>
      <c r="B130" t="s">
        <v>148</v>
      </c>
      <c r="D130">
        <f>_xlfn.XLOOKUP(A130, produk!$B:$B, produk!$A:$A)</f>
        <v>35</v>
      </c>
      <c r="E130">
        <f>_xlfn.XLOOKUP(B130, jenis_pekerjaan!$B:$B, jenis_pekerjaan!$A:$A)</f>
        <v>29</v>
      </c>
      <c r="F130" s="7" t="s">
        <v>210</v>
      </c>
      <c r="G130" t="e">
        <f t="shared" si="1"/>
        <v>#VALUE!</v>
      </c>
    </row>
    <row r="131" spans="1:7" x14ac:dyDescent="0.35">
      <c r="D131">
        <f>_xlfn.XLOOKUP(A131, produk!$B:$B, produk!$A:$A)</f>
        <v>0</v>
      </c>
      <c r="E131">
        <f>_xlfn.XLOOKUP(B131, jenis_pekerjaan!$B:$B, jenis_pekerjaan!$A:$A)</f>
        <v>0</v>
      </c>
      <c r="F131" s="7"/>
      <c r="G131">
        <f t="shared" ref="G131:G194" si="2">ROUNDDOWN(F131,2)</f>
        <v>0</v>
      </c>
    </row>
    <row r="132" spans="1:7" x14ac:dyDescent="0.35">
      <c r="A132" t="s">
        <v>36</v>
      </c>
      <c r="B132" t="s">
        <v>120</v>
      </c>
      <c r="C132" s="3">
        <v>5400</v>
      </c>
      <c r="D132">
        <f>_xlfn.XLOOKUP(A132, produk!$B:$B, produk!$A:$A)</f>
        <v>36</v>
      </c>
      <c r="E132">
        <f>_xlfn.XLOOKUP(B132, jenis_pekerjaan!$B:$B, jenis_pekerjaan!$A:$A)</f>
        <v>1</v>
      </c>
      <c r="F132" s="7">
        <v>7.0000000000000007E-2</v>
      </c>
      <c r="G132">
        <f t="shared" si="2"/>
        <v>7.0000000000000007E-2</v>
      </c>
    </row>
    <row r="133" spans="1:7" x14ac:dyDescent="0.35">
      <c r="A133" t="s">
        <v>36</v>
      </c>
      <c r="B133" t="s">
        <v>121</v>
      </c>
      <c r="C133" s="3">
        <v>7500</v>
      </c>
      <c r="D133">
        <f>_xlfn.XLOOKUP(A133, produk!$B:$B, produk!$A:$A)</f>
        <v>36</v>
      </c>
      <c r="E133">
        <f>_xlfn.XLOOKUP(B133, jenis_pekerjaan!$B:$B, jenis_pekerjaan!$A:$A)</f>
        <v>2</v>
      </c>
      <c r="F133" s="7">
        <v>5.04E-2</v>
      </c>
      <c r="G133">
        <f t="shared" si="2"/>
        <v>0.05</v>
      </c>
    </row>
    <row r="134" spans="1:7" x14ac:dyDescent="0.35">
      <c r="A134" t="s">
        <v>36</v>
      </c>
      <c r="B134" t="s">
        <v>135</v>
      </c>
      <c r="C134" s="3">
        <v>1200</v>
      </c>
      <c r="D134">
        <f>_xlfn.XLOOKUP(A134, produk!$B:$B, produk!$A:$A)</f>
        <v>36</v>
      </c>
      <c r="E134">
        <f>_xlfn.XLOOKUP(B134, jenis_pekerjaan!$B:$B, jenis_pekerjaan!$A:$A)</f>
        <v>16</v>
      </c>
      <c r="F134" s="7">
        <v>0.315</v>
      </c>
      <c r="G134">
        <f t="shared" si="2"/>
        <v>0.31</v>
      </c>
    </row>
    <row r="135" spans="1:7" x14ac:dyDescent="0.35">
      <c r="A135" t="s">
        <v>36</v>
      </c>
      <c r="B135" t="s">
        <v>172</v>
      </c>
      <c r="D135">
        <f>_xlfn.XLOOKUP(A135, produk!$B:$B, produk!$A:$A)</f>
        <v>36</v>
      </c>
      <c r="E135">
        <f>_xlfn.XLOOKUP(B135, jenis_pekerjaan!$B:$B, jenis_pekerjaan!$A:$A)</f>
        <v>55</v>
      </c>
      <c r="F135" s="7" t="s">
        <v>210</v>
      </c>
      <c r="G135" t="e">
        <f t="shared" si="2"/>
        <v>#VALUE!</v>
      </c>
    </row>
    <row r="136" spans="1:7" x14ac:dyDescent="0.35">
      <c r="D136">
        <f>_xlfn.XLOOKUP(A136, produk!$B:$B, produk!$A:$A)</f>
        <v>0</v>
      </c>
      <c r="E136">
        <f>_xlfn.XLOOKUP(B136, jenis_pekerjaan!$B:$B, jenis_pekerjaan!$A:$A)</f>
        <v>0</v>
      </c>
      <c r="F136" s="7"/>
      <c r="G136">
        <f t="shared" si="2"/>
        <v>0</v>
      </c>
    </row>
    <row r="137" spans="1:7" x14ac:dyDescent="0.35">
      <c r="A137" t="s">
        <v>37</v>
      </c>
      <c r="B137" t="s">
        <v>120</v>
      </c>
      <c r="C137" s="3">
        <v>2500</v>
      </c>
      <c r="D137">
        <f>_xlfn.XLOOKUP(A137, produk!$B:$B, produk!$A:$A)</f>
        <v>37</v>
      </c>
      <c r="E137">
        <f>_xlfn.XLOOKUP(B137, jenis_pekerjaan!$B:$B, jenis_pekerjaan!$A:$A)</f>
        <v>1</v>
      </c>
      <c r="F137" s="7">
        <v>0.1512</v>
      </c>
      <c r="G137">
        <f t="shared" si="2"/>
        <v>0.15</v>
      </c>
    </row>
    <row r="138" spans="1:7" x14ac:dyDescent="0.35">
      <c r="A138" t="s">
        <v>37</v>
      </c>
      <c r="B138" t="s">
        <v>160</v>
      </c>
      <c r="D138">
        <f>_xlfn.XLOOKUP(A138, produk!$B:$B, produk!$A:$A)</f>
        <v>37</v>
      </c>
      <c r="E138">
        <f>_xlfn.XLOOKUP(B138, jenis_pekerjaan!$B:$B, jenis_pekerjaan!$A:$A)</f>
        <v>41</v>
      </c>
      <c r="F138" s="7">
        <v>1.08</v>
      </c>
      <c r="G138">
        <f t="shared" si="2"/>
        <v>1.08</v>
      </c>
    </row>
    <row r="139" spans="1:7" x14ac:dyDescent="0.35">
      <c r="A139" t="s">
        <v>37</v>
      </c>
      <c r="B139" t="s">
        <v>144</v>
      </c>
      <c r="D139">
        <f>_xlfn.XLOOKUP(A139, produk!$B:$B, produk!$A:$A)</f>
        <v>37</v>
      </c>
      <c r="E139">
        <f>_xlfn.XLOOKUP(B139, jenis_pekerjaan!$B:$B, jenis_pekerjaan!$A:$A)</f>
        <v>25</v>
      </c>
      <c r="F139" s="7">
        <v>1.08</v>
      </c>
      <c r="G139">
        <f t="shared" si="2"/>
        <v>1.08</v>
      </c>
    </row>
    <row r="140" spans="1:7" x14ac:dyDescent="0.35">
      <c r="D140">
        <f>_xlfn.XLOOKUP(A140, produk!$B:$B, produk!$A:$A)</f>
        <v>0</v>
      </c>
      <c r="E140">
        <f>_xlfn.XLOOKUP(B140, jenis_pekerjaan!$B:$B, jenis_pekerjaan!$A:$A)</f>
        <v>0</v>
      </c>
      <c r="F140" s="7"/>
      <c r="G140">
        <f t="shared" si="2"/>
        <v>0</v>
      </c>
    </row>
    <row r="141" spans="1:7" x14ac:dyDescent="0.35">
      <c r="A141" t="s">
        <v>38</v>
      </c>
      <c r="B141" t="s">
        <v>120</v>
      </c>
      <c r="C141" s="3">
        <v>5600</v>
      </c>
      <c r="D141">
        <f>_xlfn.XLOOKUP(A141, produk!$B:$B, produk!$A:$A)</f>
        <v>38</v>
      </c>
      <c r="E141">
        <f>_xlfn.XLOOKUP(B141, jenis_pekerjaan!$B:$B, jenis_pekerjaan!$A:$A)</f>
        <v>1</v>
      </c>
      <c r="F141" s="7">
        <v>6.7500000000000004E-2</v>
      </c>
      <c r="G141">
        <f t="shared" si="2"/>
        <v>0.06</v>
      </c>
    </row>
    <row r="142" spans="1:7" x14ac:dyDescent="0.35">
      <c r="A142" t="s">
        <v>38</v>
      </c>
      <c r="B142" t="s">
        <v>160</v>
      </c>
      <c r="D142">
        <f>_xlfn.XLOOKUP(A142, produk!$B:$B, produk!$A:$A)</f>
        <v>38</v>
      </c>
      <c r="E142">
        <f>_xlfn.XLOOKUP(B142, jenis_pekerjaan!$B:$B, jenis_pekerjaan!$A:$A)</f>
        <v>41</v>
      </c>
      <c r="F142" s="7">
        <v>1.08</v>
      </c>
      <c r="G142">
        <f t="shared" si="2"/>
        <v>1.08</v>
      </c>
    </row>
    <row r="143" spans="1:7" x14ac:dyDescent="0.35">
      <c r="A143" t="s">
        <v>38</v>
      </c>
      <c r="B143" t="s">
        <v>144</v>
      </c>
      <c r="D143">
        <f>_xlfn.XLOOKUP(A143, produk!$B:$B, produk!$A:$A)</f>
        <v>38</v>
      </c>
      <c r="E143">
        <f>_xlfn.XLOOKUP(B143, jenis_pekerjaan!$B:$B, jenis_pekerjaan!$A:$A)</f>
        <v>25</v>
      </c>
      <c r="F143" s="7">
        <v>1.08</v>
      </c>
      <c r="G143">
        <f t="shared" si="2"/>
        <v>1.08</v>
      </c>
    </row>
    <row r="144" spans="1:7" x14ac:dyDescent="0.35">
      <c r="D144">
        <f>_xlfn.XLOOKUP(A144, produk!$B:$B, produk!$A:$A)</f>
        <v>0</v>
      </c>
      <c r="E144">
        <f>_xlfn.XLOOKUP(B144, jenis_pekerjaan!$B:$B, jenis_pekerjaan!$A:$A)</f>
        <v>0</v>
      </c>
      <c r="F144" s="7"/>
      <c r="G144">
        <f t="shared" si="2"/>
        <v>0</v>
      </c>
    </row>
    <row r="145" spans="1:7" x14ac:dyDescent="0.35">
      <c r="A145" t="s">
        <v>39</v>
      </c>
      <c r="B145" t="s">
        <v>120</v>
      </c>
      <c r="C145" s="3">
        <v>5400</v>
      </c>
      <c r="D145">
        <f>_xlfn.XLOOKUP(A145, produk!$B:$B, produk!$A:$A)</f>
        <v>39</v>
      </c>
      <c r="E145">
        <f>_xlfn.XLOOKUP(B145, jenis_pekerjaan!$B:$B, jenis_pekerjaan!$A:$A)</f>
        <v>1</v>
      </c>
      <c r="F145" s="7">
        <v>7.0000000000000007E-2</v>
      </c>
      <c r="G145">
        <f t="shared" si="2"/>
        <v>7.0000000000000007E-2</v>
      </c>
    </row>
    <row r="146" spans="1:7" x14ac:dyDescent="0.35">
      <c r="A146" t="s">
        <v>39</v>
      </c>
      <c r="B146" t="s">
        <v>121</v>
      </c>
      <c r="C146" s="3">
        <v>7500</v>
      </c>
      <c r="D146">
        <f>_xlfn.XLOOKUP(A146, produk!$B:$B, produk!$A:$A)</f>
        <v>39</v>
      </c>
      <c r="E146">
        <f>_xlfn.XLOOKUP(B146, jenis_pekerjaan!$B:$B, jenis_pekerjaan!$A:$A)</f>
        <v>2</v>
      </c>
      <c r="F146" s="7">
        <v>5.04E-2</v>
      </c>
      <c r="G146">
        <f t="shared" si="2"/>
        <v>0.05</v>
      </c>
    </row>
    <row r="147" spans="1:7" x14ac:dyDescent="0.35">
      <c r="D147">
        <f>_xlfn.XLOOKUP(A147, produk!$B:$B, produk!$A:$A)</f>
        <v>0</v>
      </c>
      <c r="E147">
        <f>_xlfn.XLOOKUP(B147, jenis_pekerjaan!$B:$B, jenis_pekerjaan!$A:$A)</f>
        <v>0</v>
      </c>
      <c r="F147" s="7"/>
      <c r="G147">
        <f t="shared" si="2"/>
        <v>0</v>
      </c>
    </row>
    <row r="148" spans="1:7" x14ac:dyDescent="0.35">
      <c r="A148" t="s">
        <v>40</v>
      </c>
      <c r="B148" t="s">
        <v>120</v>
      </c>
      <c r="C148" s="3">
        <v>150</v>
      </c>
      <c r="D148">
        <f>_xlfn.XLOOKUP(A148, produk!$B:$B, produk!$A:$A)</f>
        <v>40</v>
      </c>
      <c r="E148">
        <f>_xlfn.XLOOKUP(B148, jenis_pekerjaan!$B:$B, jenis_pekerjaan!$A:$A)</f>
        <v>1</v>
      </c>
      <c r="F148" s="7">
        <v>0.75600000000000001</v>
      </c>
      <c r="G148">
        <f t="shared" si="2"/>
        <v>0.75</v>
      </c>
    </row>
    <row r="149" spans="1:7" x14ac:dyDescent="0.35">
      <c r="A149" t="s">
        <v>40</v>
      </c>
      <c r="B149" t="s">
        <v>144</v>
      </c>
      <c r="D149">
        <f>_xlfn.XLOOKUP(A149, produk!$B:$B, produk!$A:$A)</f>
        <v>40</v>
      </c>
      <c r="E149">
        <f>_xlfn.XLOOKUP(B149, jenis_pekerjaan!$B:$B, jenis_pekerjaan!$A:$A)</f>
        <v>25</v>
      </c>
      <c r="F149" s="7">
        <v>2.223529412</v>
      </c>
      <c r="G149">
        <f t="shared" si="2"/>
        <v>2.2200000000000002</v>
      </c>
    </row>
    <row r="150" spans="1:7" x14ac:dyDescent="0.35">
      <c r="A150" t="s">
        <v>40</v>
      </c>
      <c r="B150" t="s">
        <v>163</v>
      </c>
      <c r="D150">
        <f>_xlfn.XLOOKUP(A150, produk!$B:$B, produk!$A:$A)</f>
        <v>40</v>
      </c>
      <c r="E150">
        <f>_xlfn.XLOOKUP(B150, jenis_pekerjaan!$B:$B, jenis_pekerjaan!$A:$A)</f>
        <v>44</v>
      </c>
      <c r="F150" s="7">
        <v>2.223529412</v>
      </c>
      <c r="G150">
        <f t="shared" si="2"/>
        <v>2.2200000000000002</v>
      </c>
    </row>
    <row r="151" spans="1:7" x14ac:dyDescent="0.35">
      <c r="A151" t="s">
        <v>40</v>
      </c>
      <c r="B151" t="s">
        <v>156</v>
      </c>
      <c r="D151">
        <f>_xlfn.XLOOKUP(A151, produk!$B:$B, produk!$A:$A)</f>
        <v>40</v>
      </c>
      <c r="E151">
        <f>_xlfn.XLOOKUP(B151, jenis_pekerjaan!$B:$B, jenis_pekerjaan!$A:$A)</f>
        <v>37</v>
      </c>
      <c r="F151" s="7" t="s">
        <v>210</v>
      </c>
      <c r="G151" t="e">
        <f t="shared" si="2"/>
        <v>#VALUE!</v>
      </c>
    </row>
    <row r="152" spans="1:7" x14ac:dyDescent="0.35">
      <c r="A152" t="s">
        <v>40</v>
      </c>
      <c r="B152" t="s">
        <v>148</v>
      </c>
      <c r="D152">
        <f>_xlfn.XLOOKUP(A152, produk!$B:$B, produk!$A:$A)</f>
        <v>40</v>
      </c>
      <c r="E152">
        <f>_xlfn.XLOOKUP(B152, jenis_pekerjaan!$B:$B, jenis_pekerjaan!$A:$A)</f>
        <v>29</v>
      </c>
      <c r="F152" s="7" t="s">
        <v>210</v>
      </c>
      <c r="G152" t="e">
        <f t="shared" si="2"/>
        <v>#VALUE!</v>
      </c>
    </row>
    <row r="153" spans="1:7" x14ac:dyDescent="0.35">
      <c r="A153" t="s">
        <v>40</v>
      </c>
      <c r="B153" t="s">
        <v>124</v>
      </c>
      <c r="C153" s="3">
        <v>240</v>
      </c>
      <c r="D153">
        <f>_xlfn.XLOOKUP(A153, produk!$B:$B, produk!$A:$A)</f>
        <v>40</v>
      </c>
      <c r="E153">
        <f>_xlfn.XLOOKUP(B153, jenis_pekerjaan!$B:$B, jenis_pekerjaan!$A:$A)</f>
        <v>5</v>
      </c>
      <c r="F153" s="7">
        <v>1.575</v>
      </c>
      <c r="G153">
        <f t="shared" si="2"/>
        <v>1.57</v>
      </c>
    </row>
    <row r="154" spans="1:7" x14ac:dyDescent="0.35">
      <c r="D154">
        <f>_xlfn.XLOOKUP(A154, produk!$B:$B, produk!$A:$A)</f>
        <v>0</v>
      </c>
      <c r="E154">
        <f>_xlfn.XLOOKUP(B154, jenis_pekerjaan!$B:$B, jenis_pekerjaan!$A:$A)</f>
        <v>0</v>
      </c>
      <c r="F154" s="7"/>
      <c r="G154">
        <f t="shared" si="2"/>
        <v>0</v>
      </c>
    </row>
    <row r="155" spans="1:7" x14ac:dyDescent="0.35">
      <c r="A155" t="s">
        <v>41</v>
      </c>
      <c r="B155" t="s">
        <v>120</v>
      </c>
      <c r="C155" s="3">
        <v>950</v>
      </c>
      <c r="D155">
        <f>_xlfn.XLOOKUP(A155, produk!$B:$B, produk!$A:$A)</f>
        <v>41</v>
      </c>
      <c r="E155">
        <f>_xlfn.XLOOKUP(B155, jenis_pekerjaan!$B:$B, jenis_pekerjaan!$A:$A)</f>
        <v>1</v>
      </c>
      <c r="F155" s="7">
        <v>0.39789473679999998</v>
      </c>
      <c r="G155">
        <f t="shared" si="2"/>
        <v>0.39</v>
      </c>
    </row>
    <row r="156" spans="1:7" x14ac:dyDescent="0.35">
      <c r="A156" t="s">
        <v>41</v>
      </c>
      <c r="B156" t="s">
        <v>174</v>
      </c>
      <c r="C156" s="3">
        <v>525</v>
      </c>
      <c r="D156">
        <f>_xlfn.XLOOKUP(A156, produk!$B:$B, produk!$A:$A)</f>
        <v>41</v>
      </c>
      <c r="E156">
        <f>_xlfn.XLOOKUP(B156, jenis_pekerjaan!$B:$B, jenis_pekerjaan!$A:$A)</f>
        <v>57</v>
      </c>
      <c r="F156" s="7">
        <v>0.72</v>
      </c>
      <c r="G156">
        <f t="shared" si="2"/>
        <v>0.72</v>
      </c>
    </row>
    <row r="157" spans="1:7" x14ac:dyDescent="0.35">
      <c r="A157" t="s">
        <v>41</v>
      </c>
      <c r="B157" t="s">
        <v>175</v>
      </c>
      <c r="C157" s="3">
        <v>700</v>
      </c>
      <c r="D157">
        <f>_xlfn.XLOOKUP(A157, produk!$B:$B, produk!$A:$A)</f>
        <v>41</v>
      </c>
      <c r="E157">
        <f>_xlfn.XLOOKUP(B157, jenis_pekerjaan!$B:$B, jenis_pekerjaan!$A:$A)</f>
        <v>58</v>
      </c>
      <c r="F157" s="7">
        <v>0.54</v>
      </c>
      <c r="G157">
        <f t="shared" si="2"/>
        <v>0.54</v>
      </c>
    </row>
    <row r="158" spans="1:7" x14ac:dyDescent="0.35">
      <c r="A158" t="s">
        <v>41</v>
      </c>
      <c r="B158" t="s">
        <v>177</v>
      </c>
      <c r="C158" s="3">
        <v>700</v>
      </c>
      <c r="D158">
        <f>_xlfn.XLOOKUP(A158, produk!$B:$B, produk!$A:$A)</f>
        <v>41</v>
      </c>
      <c r="E158">
        <f>_xlfn.XLOOKUP(B158, jenis_pekerjaan!$B:$B, jenis_pekerjaan!$A:$A)</f>
        <v>60</v>
      </c>
      <c r="F158" s="7">
        <v>0.54</v>
      </c>
      <c r="G158">
        <f t="shared" si="2"/>
        <v>0.54</v>
      </c>
    </row>
    <row r="159" spans="1:7" x14ac:dyDescent="0.35">
      <c r="A159" t="s">
        <v>41</v>
      </c>
      <c r="B159" t="s">
        <v>176</v>
      </c>
      <c r="C159" s="3">
        <v>700</v>
      </c>
      <c r="D159">
        <f>_xlfn.XLOOKUP(A159, produk!$B:$B, produk!$A:$A)</f>
        <v>41</v>
      </c>
      <c r="E159">
        <f>_xlfn.XLOOKUP(B159, jenis_pekerjaan!$B:$B, jenis_pekerjaan!$A:$A)</f>
        <v>59</v>
      </c>
      <c r="F159" s="7">
        <v>0.54</v>
      </c>
      <c r="G159">
        <f t="shared" si="2"/>
        <v>0.54</v>
      </c>
    </row>
    <row r="160" spans="1:7" x14ac:dyDescent="0.35">
      <c r="A160" t="s">
        <v>41</v>
      </c>
      <c r="B160" t="s">
        <v>178</v>
      </c>
      <c r="D160">
        <f>_xlfn.XLOOKUP(A160, produk!$B:$B, produk!$A:$A)</f>
        <v>41</v>
      </c>
      <c r="E160">
        <f>_xlfn.XLOOKUP(B160, jenis_pekerjaan!$B:$B, jenis_pekerjaan!$A:$A)</f>
        <v>61</v>
      </c>
      <c r="F160" s="7">
        <v>0.72</v>
      </c>
      <c r="G160">
        <f t="shared" si="2"/>
        <v>0.72</v>
      </c>
    </row>
    <row r="161" spans="1:7" x14ac:dyDescent="0.35">
      <c r="A161" t="s">
        <v>41</v>
      </c>
      <c r="B161" t="s">
        <v>179</v>
      </c>
      <c r="C161" s="3">
        <v>525</v>
      </c>
      <c r="D161">
        <f>_xlfn.XLOOKUP(A161, produk!$B:$B, produk!$A:$A)</f>
        <v>41</v>
      </c>
      <c r="E161">
        <f>_xlfn.XLOOKUP(B161, jenis_pekerjaan!$B:$B, jenis_pekerjaan!$A:$A)</f>
        <v>62</v>
      </c>
      <c r="F161" s="7">
        <v>0.72</v>
      </c>
      <c r="G161">
        <f t="shared" si="2"/>
        <v>0.72</v>
      </c>
    </row>
    <row r="162" spans="1:7" x14ac:dyDescent="0.35">
      <c r="A162" t="s">
        <v>41</v>
      </c>
      <c r="B162" t="s">
        <v>180</v>
      </c>
      <c r="C162" s="3">
        <v>525</v>
      </c>
      <c r="D162">
        <f>_xlfn.XLOOKUP(A162, produk!$B:$B, produk!$A:$A)</f>
        <v>41</v>
      </c>
      <c r="E162">
        <f>_xlfn.XLOOKUP(B162, jenis_pekerjaan!$B:$B, jenis_pekerjaan!$A:$A)</f>
        <v>63</v>
      </c>
      <c r="F162" s="7">
        <v>0.72</v>
      </c>
      <c r="G162">
        <f t="shared" si="2"/>
        <v>0.72</v>
      </c>
    </row>
    <row r="163" spans="1:7" x14ac:dyDescent="0.35">
      <c r="A163" t="s">
        <v>41</v>
      </c>
      <c r="B163" t="s">
        <v>181</v>
      </c>
      <c r="C163" s="3">
        <v>525</v>
      </c>
      <c r="D163">
        <f>_xlfn.XLOOKUP(A163, produk!$B:$B, produk!$A:$A)</f>
        <v>41</v>
      </c>
      <c r="E163">
        <f>_xlfn.XLOOKUP(B163, jenis_pekerjaan!$B:$B, jenis_pekerjaan!$A:$A)</f>
        <v>64</v>
      </c>
      <c r="F163" s="7">
        <v>0.72</v>
      </c>
      <c r="G163">
        <f t="shared" si="2"/>
        <v>0.72</v>
      </c>
    </row>
    <row r="164" spans="1:7" x14ac:dyDescent="0.35">
      <c r="A164" t="s">
        <v>41</v>
      </c>
      <c r="B164" t="s">
        <v>182</v>
      </c>
      <c r="C164" s="3">
        <v>490</v>
      </c>
      <c r="D164">
        <f>_xlfn.XLOOKUP(A164, produk!$B:$B, produk!$A:$A)</f>
        <v>41</v>
      </c>
      <c r="E164">
        <f>_xlfn.XLOOKUP(B164, jenis_pekerjaan!$B:$B, jenis_pekerjaan!$A:$A)</f>
        <v>65</v>
      </c>
      <c r="F164" s="7">
        <v>0.77142857139999998</v>
      </c>
      <c r="G164">
        <f t="shared" si="2"/>
        <v>0.77</v>
      </c>
    </row>
    <row r="165" spans="1:7" x14ac:dyDescent="0.35">
      <c r="D165">
        <f>_xlfn.XLOOKUP(A165, produk!$B:$B, produk!$A:$A)</f>
        <v>0</v>
      </c>
      <c r="E165">
        <f>_xlfn.XLOOKUP(B165, jenis_pekerjaan!$B:$B, jenis_pekerjaan!$A:$A)</f>
        <v>0</v>
      </c>
      <c r="F165" s="7"/>
      <c r="G165">
        <f t="shared" si="2"/>
        <v>0</v>
      </c>
    </row>
    <row r="166" spans="1:7" x14ac:dyDescent="0.35">
      <c r="A166" t="s">
        <v>42</v>
      </c>
      <c r="B166" t="s">
        <v>120</v>
      </c>
      <c r="D166">
        <f>_xlfn.XLOOKUP(A166, produk!$B:$B, produk!$A:$A)</f>
        <v>42</v>
      </c>
      <c r="E166">
        <f>_xlfn.XLOOKUP(B166, jenis_pekerjaan!$B:$B, jenis_pekerjaan!$A:$A)</f>
        <v>1</v>
      </c>
      <c r="F166" s="7" t="s">
        <v>210</v>
      </c>
      <c r="G166" t="e">
        <f t="shared" si="2"/>
        <v>#VALUE!</v>
      </c>
    </row>
    <row r="167" spans="1:7" x14ac:dyDescent="0.35">
      <c r="D167">
        <f>_xlfn.XLOOKUP(A167, produk!$B:$B, produk!$A:$A)</f>
        <v>0</v>
      </c>
      <c r="E167">
        <f>_xlfn.XLOOKUP(B167, jenis_pekerjaan!$B:$B, jenis_pekerjaan!$A:$A)</f>
        <v>0</v>
      </c>
      <c r="F167" s="7"/>
      <c r="G167">
        <f t="shared" si="2"/>
        <v>0</v>
      </c>
    </row>
    <row r="168" spans="1:7" x14ac:dyDescent="0.35">
      <c r="A168" t="s">
        <v>43</v>
      </c>
      <c r="D168">
        <f>_xlfn.XLOOKUP(A168, produk!$B:$B, produk!$A:$A)</f>
        <v>43</v>
      </c>
      <c r="E168">
        <f>_xlfn.XLOOKUP(B168, jenis_pekerjaan!$B:$B, jenis_pekerjaan!$A:$A)</f>
        <v>0</v>
      </c>
      <c r="F168" s="7" t="s">
        <v>210</v>
      </c>
      <c r="G168" t="e">
        <f t="shared" si="2"/>
        <v>#VALUE!</v>
      </c>
    </row>
    <row r="169" spans="1:7" x14ac:dyDescent="0.35">
      <c r="A169" t="s">
        <v>44</v>
      </c>
      <c r="B169" t="s">
        <v>120</v>
      </c>
      <c r="D169">
        <f>_xlfn.XLOOKUP(A169, produk!$B:$B, produk!$A:$A)</f>
        <v>44</v>
      </c>
      <c r="E169">
        <f>_xlfn.XLOOKUP(B169, jenis_pekerjaan!$B:$B, jenis_pekerjaan!$A:$A)</f>
        <v>1</v>
      </c>
      <c r="F169" s="7">
        <v>0.108</v>
      </c>
      <c r="G169">
        <f t="shared" si="2"/>
        <v>0.1</v>
      </c>
    </row>
    <row r="170" spans="1:7" x14ac:dyDescent="0.35">
      <c r="A170" t="s">
        <v>44</v>
      </c>
      <c r="B170" t="s">
        <v>142</v>
      </c>
      <c r="C170" s="3">
        <v>2800</v>
      </c>
      <c r="D170">
        <f>_xlfn.XLOOKUP(A170, produk!$B:$B, produk!$A:$A)</f>
        <v>44</v>
      </c>
      <c r="E170">
        <f>_xlfn.XLOOKUP(B170, jenis_pekerjaan!$B:$B, jenis_pekerjaan!$A:$A)</f>
        <v>23</v>
      </c>
      <c r="F170" s="7">
        <v>0.13500000000000001</v>
      </c>
      <c r="G170">
        <f t="shared" si="2"/>
        <v>0.13</v>
      </c>
    </row>
    <row r="171" spans="1:7" x14ac:dyDescent="0.35">
      <c r="A171" t="s">
        <v>44</v>
      </c>
      <c r="B171" t="s">
        <v>121</v>
      </c>
      <c r="D171">
        <f>_xlfn.XLOOKUP(A171, produk!$B:$B, produk!$A:$A)</f>
        <v>44</v>
      </c>
      <c r="E171">
        <f>_xlfn.XLOOKUP(B171, jenis_pekerjaan!$B:$B, jenis_pekerjaan!$A:$A)</f>
        <v>2</v>
      </c>
      <c r="F171" s="7" t="s">
        <v>210</v>
      </c>
      <c r="G171" t="e">
        <f t="shared" si="2"/>
        <v>#VALUE!</v>
      </c>
    </row>
    <row r="172" spans="1:7" x14ac:dyDescent="0.35">
      <c r="A172" t="s">
        <v>44</v>
      </c>
      <c r="B172" t="s">
        <v>172</v>
      </c>
      <c r="D172">
        <f>_xlfn.XLOOKUP(A172, produk!$B:$B, produk!$A:$A)</f>
        <v>44</v>
      </c>
      <c r="E172">
        <f>_xlfn.XLOOKUP(B172, jenis_pekerjaan!$B:$B, jenis_pekerjaan!$A:$A)</f>
        <v>55</v>
      </c>
      <c r="F172" s="7" t="s">
        <v>210</v>
      </c>
      <c r="G172" t="e">
        <f t="shared" si="2"/>
        <v>#VALUE!</v>
      </c>
    </row>
    <row r="173" spans="1:7" x14ac:dyDescent="0.35">
      <c r="D173">
        <f>_xlfn.XLOOKUP(A173, produk!$B:$B, produk!$A:$A)</f>
        <v>0</v>
      </c>
      <c r="E173">
        <f>_xlfn.XLOOKUP(B173, jenis_pekerjaan!$B:$B, jenis_pekerjaan!$A:$A)</f>
        <v>0</v>
      </c>
      <c r="F173" s="7"/>
      <c r="G173">
        <f t="shared" si="2"/>
        <v>0</v>
      </c>
    </row>
    <row r="174" spans="1:7" x14ac:dyDescent="0.35">
      <c r="A174" t="s">
        <v>45</v>
      </c>
      <c r="B174" t="s">
        <v>120</v>
      </c>
      <c r="C174" s="3">
        <v>4900</v>
      </c>
      <c r="D174">
        <f>_xlfn.XLOOKUP(A174, produk!$B:$B, produk!$A:$A)</f>
        <v>45</v>
      </c>
      <c r="E174">
        <f>_xlfn.XLOOKUP(B174, jenis_pekerjaan!$B:$B, jenis_pekerjaan!$A:$A)</f>
        <v>1</v>
      </c>
      <c r="F174" s="7">
        <v>7.7142857140000007E-2</v>
      </c>
      <c r="G174">
        <f t="shared" si="2"/>
        <v>7.0000000000000007E-2</v>
      </c>
    </row>
    <row r="175" spans="1:7" x14ac:dyDescent="0.35">
      <c r="A175" t="s">
        <v>45</v>
      </c>
      <c r="B175" t="s">
        <v>200</v>
      </c>
      <c r="C175" s="3">
        <v>6300</v>
      </c>
      <c r="D175">
        <f>_xlfn.XLOOKUP(A175, produk!$B:$B, produk!$A:$A)</f>
        <v>45</v>
      </c>
      <c r="E175" t="e">
        <f>_xlfn.XLOOKUP(B175, jenis_pekerjaan!$B:$B, jenis_pekerjaan!$A:$A)</f>
        <v>#N/A</v>
      </c>
      <c r="F175" s="7">
        <v>0.06</v>
      </c>
      <c r="G175">
        <f t="shared" si="2"/>
        <v>0.06</v>
      </c>
    </row>
    <row r="176" spans="1:7" x14ac:dyDescent="0.35">
      <c r="D176">
        <f>_xlfn.XLOOKUP(A176, produk!$B:$B, produk!$A:$A)</f>
        <v>0</v>
      </c>
      <c r="E176">
        <f>_xlfn.XLOOKUP(B176, jenis_pekerjaan!$B:$B, jenis_pekerjaan!$A:$A)</f>
        <v>0</v>
      </c>
      <c r="F176" s="7"/>
      <c r="G176">
        <f t="shared" si="2"/>
        <v>0</v>
      </c>
    </row>
    <row r="177" spans="1:7" x14ac:dyDescent="0.35">
      <c r="A177" t="s">
        <v>46</v>
      </c>
      <c r="B177" t="s">
        <v>120</v>
      </c>
      <c r="C177" s="3" t="s">
        <v>201</v>
      </c>
      <c r="D177">
        <f>_xlfn.XLOOKUP(A177, produk!$B:$B, produk!$A:$A)</f>
        <v>46</v>
      </c>
      <c r="E177">
        <f>_xlfn.XLOOKUP(B177, jenis_pekerjaan!$B:$B, jenis_pekerjaan!$A:$A)</f>
        <v>1</v>
      </c>
      <c r="F177" s="7" t="s">
        <v>221</v>
      </c>
      <c r="G177" t="e">
        <f t="shared" si="2"/>
        <v>#VALUE!</v>
      </c>
    </row>
    <row r="178" spans="1:7" x14ac:dyDescent="0.35">
      <c r="D178">
        <f>_xlfn.XLOOKUP(A178, produk!$B:$B, produk!$A:$A)</f>
        <v>0</v>
      </c>
      <c r="E178">
        <f>_xlfn.XLOOKUP(B178, jenis_pekerjaan!$B:$B, jenis_pekerjaan!$A:$A)</f>
        <v>0</v>
      </c>
      <c r="F178" s="7" t="s">
        <v>210</v>
      </c>
      <c r="G178" t="e">
        <f t="shared" si="2"/>
        <v>#VALUE!</v>
      </c>
    </row>
    <row r="179" spans="1:7" x14ac:dyDescent="0.35">
      <c r="A179" t="s">
        <v>47</v>
      </c>
      <c r="B179" t="s">
        <v>120</v>
      </c>
      <c r="C179" s="3">
        <v>4900</v>
      </c>
      <c r="D179">
        <f>_xlfn.XLOOKUP(A179, produk!$B:$B, produk!$A:$A)</f>
        <v>47</v>
      </c>
      <c r="E179">
        <f>_xlfn.XLOOKUP(B179, jenis_pekerjaan!$B:$B, jenis_pekerjaan!$A:$A)</f>
        <v>1</v>
      </c>
      <c r="F179" s="7">
        <v>7.7142857140000007E-2</v>
      </c>
      <c r="G179">
        <f t="shared" si="2"/>
        <v>7.0000000000000007E-2</v>
      </c>
    </row>
    <row r="180" spans="1:7" x14ac:dyDescent="0.35">
      <c r="A180" t="s">
        <v>47</v>
      </c>
      <c r="B180" t="s">
        <v>121</v>
      </c>
      <c r="C180" s="3">
        <v>1000</v>
      </c>
      <c r="D180">
        <f>_xlfn.XLOOKUP(A180, produk!$B:$B, produk!$A:$A)</f>
        <v>47</v>
      </c>
      <c r="E180">
        <f>_xlfn.XLOOKUP(B180, jenis_pekerjaan!$B:$B, jenis_pekerjaan!$A:$A)</f>
        <v>2</v>
      </c>
      <c r="F180" s="7">
        <v>0.378</v>
      </c>
      <c r="G180">
        <f t="shared" si="2"/>
        <v>0.37</v>
      </c>
    </row>
    <row r="181" spans="1:7" x14ac:dyDescent="0.35">
      <c r="D181">
        <f>_xlfn.XLOOKUP(A181, produk!$B:$B, produk!$A:$A)</f>
        <v>0</v>
      </c>
      <c r="E181">
        <f>_xlfn.XLOOKUP(B181, jenis_pekerjaan!$B:$B, jenis_pekerjaan!$A:$A)</f>
        <v>0</v>
      </c>
      <c r="F181" s="8"/>
      <c r="G181">
        <f t="shared" si="2"/>
        <v>0</v>
      </c>
    </row>
    <row r="182" spans="1:7" x14ac:dyDescent="0.35">
      <c r="A182" t="s">
        <v>48</v>
      </c>
      <c r="B182" t="s">
        <v>120</v>
      </c>
      <c r="C182" s="3">
        <v>3400</v>
      </c>
      <c r="D182">
        <f>_xlfn.XLOOKUP(A182, produk!$B:$B, produk!$A:$A)</f>
        <v>48</v>
      </c>
      <c r="E182">
        <f>_xlfn.XLOOKUP(B182, jenis_pekerjaan!$B:$B, jenis_pekerjaan!$A:$A)</f>
        <v>1</v>
      </c>
      <c r="F182" s="7" t="s">
        <v>222</v>
      </c>
      <c r="G182" t="e">
        <f t="shared" si="2"/>
        <v>#VALUE!</v>
      </c>
    </row>
    <row r="183" spans="1:7" x14ac:dyDescent="0.35">
      <c r="A183" t="s">
        <v>48</v>
      </c>
      <c r="B183" t="s">
        <v>121</v>
      </c>
      <c r="C183" s="3">
        <v>3300</v>
      </c>
      <c r="D183">
        <f>_xlfn.XLOOKUP(A183, produk!$B:$B, produk!$A:$A)</f>
        <v>48</v>
      </c>
      <c r="E183">
        <f>_xlfn.XLOOKUP(B183, jenis_pekerjaan!$B:$B, jenis_pekerjaan!$A:$A)</f>
        <v>2</v>
      </c>
      <c r="F183" s="7">
        <v>0.72</v>
      </c>
      <c r="G183">
        <f t="shared" si="2"/>
        <v>0.72</v>
      </c>
    </row>
    <row r="184" spans="1:7" x14ac:dyDescent="0.35">
      <c r="D184">
        <f>_xlfn.XLOOKUP(A184, produk!$B:$B, produk!$A:$A)</f>
        <v>0</v>
      </c>
      <c r="E184">
        <f>_xlfn.XLOOKUP(B184, jenis_pekerjaan!$B:$B, jenis_pekerjaan!$A:$A)</f>
        <v>0</v>
      </c>
      <c r="F184" s="8"/>
      <c r="G184">
        <f t="shared" si="2"/>
        <v>0</v>
      </c>
    </row>
    <row r="185" spans="1:7" x14ac:dyDescent="0.35">
      <c r="A185" t="s">
        <v>49</v>
      </c>
      <c r="B185" t="s">
        <v>120</v>
      </c>
      <c r="C185" s="3">
        <v>5670</v>
      </c>
      <c r="D185">
        <f>_xlfn.XLOOKUP(A185, produk!$B:$B, produk!$A:$A)</f>
        <v>49</v>
      </c>
      <c r="E185">
        <f>_xlfn.XLOOKUP(B185, jenis_pekerjaan!$B:$B, jenis_pekerjaan!$A:$A)</f>
        <v>1</v>
      </c>
      <c r="F185" s="7" t="s">
        <v>217</v>
      </c>
      <c r="G185" t="e">
        <f t="shared" si="2"/>
        <v>#VALUE!</v>
      </c>
    </row>
    <row r="186" spans="1:7" x14ac:dyDescent="0.35">
      <c r="A186" t="s">
        <v>49</v>
      </c>
      <c r="B186" t="s">
        <v>137</v>
      </c>
      <c r="C186" s="3">
        <v>190</v>
      </c>
      <c r="D186">
        <f>_xlfn.XLOOKUP(A186, produk!$B:$B, produk!$A:$A)</f>
        <v>49</v>
      </c>
      <c r="E186">
        <f>_xlfn.XLOOKUP(B186, jenis_pekerjaan!$B:$B, jenis_pekerjaan!$A:$A)</f>
        <v>18</v>
      </c>
      <c r="F186" s="7">
        <v>1.989473684</v>
      </c>
      <c r="G186">
        <f t="shared" si="2"/>
        <v>1.98</v>
      </c>
    </row>
    <row r="187" spans="1:7" x14ac:dyDescent="0.35">
      <c r="A187" t="s">
        <v>49</v>
      </c>
      <c r="B187" t="s">
        <v>136</v>
      </c>
      <c r="C187" s="3">
        <v>770</v>
      </c>
      <c r="D187">
        <f>_xlfn.XLOOKUP(A187, produk!$B:$B, produk!$A:$A)</f>
        <v>49</v>
      </c>
      <c r="E187">
        <f>_xlfn.XLOOKUP(B187, jenis_pekerjaan!$B:$B, jenis_pekerjaan!$A:$A)</f>
        <v>17</v>
      </c>
      <c r="F187" s="7">
        <v>0.49090909090000001</v>
      </c>
      <c r="G187">
        <f t="shared" si="2"/>
        <v>0.49</v>
      </c>
    </row>
    <row r="188" spans="1:7" x14ac:dyDescent="0.35">
      <c r="A188" t="s">
        <v>49</v>
      </c>
      <c r="B188" t="s">
        <v>121</v>
      </c>
      <c r="C188" s="3">
        <v>4400</v>
      </c>
      <c r="D188">
        <f>_xlfn.XLOOKUP(A188, produk!$B:$B, produk!$A:$A)</f>
        <v>49</v>
      </c>
      <c r="E188">
        <f>_xlfn.XLOOKUP(B188, jenis_pekerjaan!$B:$B, jenis_pekerjaan!$A:$A)</f>
        <v>2</v>
      </c>
      <c r="F188" s="7">
        <v>8.5909090909999999E-2</v>
      </c>
      <c r="G188">
        <f t="shared" si="2"/>
        <v>0.08</v>
      </c>
    </row>
    <row r="189" spans="1:7" x14ac:dyDescent="0.35">
      <c r="D189">
        <f>_xlfn.XLOOKUP(A189, produk!$B:$B, produk!$A:$A)</f>
        <v>0</v>
      </c>
      <c r="E189">
        <f>_xlfn.XLOOKUP(B189, jenis_pekerjaan!$B:$B, jenis_pekerjaan!$A:$A)</f>
        <v>0</v>
      </c>
      <c r="F189" s="8"/>
      <c r="G189">
        <f t="shared" si="2"/>
        <v>0</v>
      </c>
    </row>
    <row r="190" spans="1:7" x14ac:dyDescent="0.35">
      <c r="A190" t="s">
        <v>202</v>
      </c>
      <c r="B190" t="s">
        <v>120</v>
      </c>
      <c r="C190" s="3">
        <v>5670</v>
      </c>
      <c r="D190" t="e">
        <f>_xlfn.XLOOKUP(A190, produk!$B:$B, produk!$A:$A)</f>
        <v>#N/A</v>
      </c>
      <c r="E190">
        <f>_xlfn.XLOOKUP(B190, jenis_pekerjaan!$B:$B, jenis_pekerjaan!$A:$A)</f>
        <v>1</v>
      </c>
      <c r="F190" s="7">
        <v>6.6666666669999999E-2</v>
      </c>
      <c r="G190">
        <f t="shared" si="2"/>
        <v>0.06</v>
      </c>
    </row>
    <row r="191" spans="1:7" x14ac:dyDescent="0.35">
      <c r="D191">
        <f>_xlfn.XLOOKUP(A191, produk!$B:$B, produk!$A:$A)</f>
        <v>0</v>
      </c>
      <c r="E191">
        <f>_xlfn.XLOOKUP(B191, jenis_pekerjaan!$B:$B, jenis_pekerjaan!$A:$A)</f>
        <v>0</v>
      </c>
      <c r="F191" s="7"/>
      <c r="G191">
        <f t="shared" si="2"/>
        <v>0</v>
      </c>
    </row>
    <row r="192" spans="1:7" x14ac:dyDescent="0.35">
      <c r="A192" t="s">
        <v>50</v>
      </c>
      <c r="B192" t="s">
        <v>120</v>
      </c>
      <c r="C192" s="3">
        <v>5600</v>
      </c>
      <c r="D192">
        <f>_xlfn.XLOOKUP(A192, produk!$B:$B, produk!$A:$A)</f>
        <v>50</v>
      </c>
      <c r="E192">
        <f>_xlfn.XLOOKUP(B192, jenis_pekerjaan!$B:$B, jenis_pekerjaan!$A:$A)</f>
        <v>1</v>
      </c>
      <c r="F192" s="7">
        <v>6.7500000000000004E-2</v>
      </c>
      <c r="G192">
        <f t="shared" si="2"/>
        <v>0.06</v>
      </c>
    </row>
    <row r="193" spans="1:7" x14ac:dyDescent="0.35">
      <c r="A193" t="s">
        <v>50</v>
      </c>
      <c r="B193" t="s">
        <v>166</v>
      </c>
      <c r="C193" s="3">
        <v>700</v>
      </c>
      <c r="D193">
        <f>_xlfn.XLOOKUP(A193, produk!$B:$B, produk!$A:$A)</f>
        <v>50</v>
      </c>
      <c r="E193">
        <f>_xlfn.XLOOKUP(B193, jenis_pekerjaan!$B:$B, jenis_pekerjaan!$A:$A)</f>
        <v>47</v>
      </c>
      <c r="F193" s="7">
        <v>0.54</v>
      </c>
      <c r="G193">
        <f t="shared" si="2"/>
        <v>0.54</v>
      </c>
    </row>
    <row r="194" spans="1:7" x14ac:dyDescent="0.35">
      <c r="A194" t="s">
        <v>50</v>
      </c>
      <c r="B194" t="s">
        <v>124</v>
      </c>
      <c r="C194" s="3">
        <v>1000</v>
      </c>
      <c r="D194">
        <f>_xlfn.XLOOKUP(A194, produk!$B:$B, produk!$A:$A)</f>
        <v>50</v>
      </c>
      <c r="E194">
        <f>_xlfn.XLOOKUP(B194, jenis_pekerjaan!$B:$B, jenis_pekerjaan!$A:$A)</f>
        <v>5</v>
      </c>
      <c r="F194" s="7">
        <v>0.378</v>
      </c>
      <c r="G194">
        <f t="shared" si="2"/>
        <v>0.37</v>
      </c>
    </row>
    <row r="195" spans="1:7" x14ac:dyDescent="0.35">
      <c r="D195">
        <f>_xlfn.XLOOKUP(A195, produk!$B:$B, produk!$A:$A)</f>
        <v>0</v>
      </c>
      <c r="E195">
        <f>_xlfn.XLOOKUP(B195, jenis_pekerjaan!$B:$B, jenis_pekerjaan!$A:$A)</f>
        <v>0</v>
      </c>
      <c r="F195" s="8"/>
      <c r="G195">
        <f t="shared" ref="G195:G258" si="3">ROUNDDOWN(F195,2)</f>
        <v>0</v>
      </c>
    </row>
    <row r="196" spans="1:7" x14ac:dyDescent="0.35">
      <c r="A196" t="s">
        <v>51</v>
      </c>
      <c r="B196" t="s">
        <v>120</v>
      </c>
      <c r="C196" s="3">
        <v>4400</v>
      </c>
      <c r="D196">
        <f>_xlfn.XLOOKUP(A196, produk!$B:$B, produk!$A:$A)</f>
        <v>51</v>
      </c>
      <c r="E196">
        <f>_xlfn.XLOOKUP(B196, jenis_pekerjaan!$B:$B, jenis_pekerjaan!$A:$A)</f>
        <v>1</v>
      </c>
      <c r="F196" s="7" t="s">
        <v>215</v>
      </c>
      <c r="G196" t="e">
        <f t="shared" si="3"/>
        <v>#VALUE!</v>
      </c>
    </row>
    <row r="197" spans="1:7" x14ac:dyDescent="0.35">
      <c r="A197" t="s">
        <v>51</v>
      </c>
      <c r="B197" t="s">
        <v>121</v>
      </c>
      <c r="D197">
        <f>_xlfn.XLOOKUP(A197, produk!$B:$B, produk!$A:$A)</f>
        <v>51</v>
      </c>
      <c r="E197">
        <f>_xlfn.XLOOKUP(B197, jenis_pekerjaan!$B:$B, jenis_pekerjaan!$A:$A)</f>
        <v>2</v>
      </c>
      <c r="F197" s="7" t="s">
        <v>210</v>
      </c>
      <c r="G197" t="e">
        <f t="shared" si="3"/>
        <v>#VALUE!</v>
      </c>
    </row>
    <row r="198" spans="1:7" x14ac:dyDescent="0.35">
      <c r="A198" t="s">
        <v>51</v>
      </c>
      <c r="B198" t="s">
        <v>138</v>
      </c>
      <c r="D198">
        <f>_xlfn.XLOOKUP(A198, produk!$B:$B, produk!$A:$A)</f>
        <v>51</v>
      </c>
      <c r="E198">
        <f>_xlfn.XLOOKUP(B198, jenis_pekerjaan!$B:$B, jenis_pekerjaan!$A:$A)</f>
        <v>19</v>
      </c>
      <c r="F198" s="7" t="s">
        <v>210</v>
      </c>
      <c r="G198" t="e">
        <f t="shared" si="3"/>
        <v>#VALUE!</v>
      </c>
    </row>
    <row r="199" spans="1:7" x14ac:dyDescent="0.35">
      <c r="A199" t="s">
        <v>51</v>
      </c>
      <c r="B199" t="s">
        <v>168</v>
      </c>
      <c r="D199">
        <f>_xlfn.XLOOKUP(A199, produk!$B:$B, produk!$A:$A)</f>
        <v>51</v>
      </c>
      <c r="E199">
        <f>_xlfn.XLOOKUP(B199, jenis_pekerjaan!$B:$B, jenis_pekerjaan!$A:$A)</f>
        <v>49</v>
      </c>
      <c r="F199" s="7" t="s">
        <v>210</v>
      </c>
      <c r="G199" t="e">
        <f t="shared" si="3"/>
        <v>#VALUE!</v>
      </c>
    </row>
    <row r="200" spans="1:7" x14ac:dyDescent="0.35">
      <c r="A200" t="s">
        <v>51</v>
      </c>
      <c r="B200" t="s">
        <v>139</v>
      </c>
      <c r="C200" s="3">
        <v>250</v>
      </c>
      <c r="D200">
        <f>_xlfn.XLOOKUP(A200, produk!$B:$B, produk!$A:$A)</f>
        <v>51</v>
      </c>
      <c r="E200">
        <f>_xlfn.XLOOKUP(B200, jenis_pekerjaan!$B:$B, jenis_pekerjaan!$A:$A)</f>
        <v>20</v>
      </c>
      <c r="F200" s="7">
        <v>1.512</v>
      </c>
      <c r="G200">
        <f t="shared" si="3"/>
        <v>1.51</v>
      </c>
    </row>
    <row r="201" spans="1:7" x14ac:dyDescent="0.35">
      <c r="D201">
        <f>_xlfn.XLOOKUP(A201, produk!$B:$B, produk!$A:$A)</f>
        <v>0</v>
      </c>
      <c r="E201">
        <f>_xlfn.XLOOKUP(B201, jenis_pekerjaan!$B:$B, jenis_pekerjaan!$A:$A)</f>
        <v>0</v>
      </c>
      <c r="F201" s="7"/>
      <c r="G201">
        <f t="shared" si="3"/>
        <v>0</v>
      </c>
    </row>
    <row r="202" spans="1:7" x14ac:dyDescent="0.35">
      <c r="A202" t="s">
        <v>52</v>
      </c>
      <c r="B202" t="s">
        <v>120</v>
      </c>
      <c r="C202" s="3">
        <v>5670</v>
      </c>
      <c r="D202">
        <f>_xlfn.XLOOKUP(A202, produk!$B:$B, produk!$A:$A)</f>
        <v>52</v>
      </c>
      <c r="E202">
        <f>_xlfn.XLOOKUP(B202, jenis_pekerjaan!$B:$B, jenis_pekerjaan!$A:$A)</f>
        <v>1</v>
      </c>
      <c r="F202" s="7" t="s">
        <v>215</v>
      </c>
      <c r="G202" t="e">
        <f t="shared" si="3"/>
        <v>#VALUE!</v>
      </c>
    </row>
    <row r="203" spans="1:7" x14ac:dyDescent="0.35">
      <c r="A203" t="s">
        <v>52</v>
      </c>
      <c r="B203" t="s">
        <v>121</v>
      </c>
      <c r="C203" s="3">
        <v>3500</v>
      </c>
      <c r="D203">
        <f>_xlfn.XLOOKUP(A203, produk!$B:$B, produk!$A:$A)</f>
        <v>52</v>
      </c>
      <c r="E203">
        <f>_xlfn.XLOOKUP(B203, jenis_pekerjaan!$B:$B, jenis_pekerjaan!$A:$A)</f>
        <v>2</v>
      </c>
      <c r="F203" s="7">
        <v>0.108</v>
      </c>
      <c r="G203">
        <f t="shared" si="3"/>
        <v>0.1</v>
      </c>
    </row>
    <row r="204" spans="1:7" x14ac:dyDescent="0.35">
      <c r="A204" t="s">
        <v>52</v>
      </c>
      <c r="B204" t="s">
        <v>135</v>
      </c>
      <c r="C204" s="3">
        <v>420</v>
      </c>
      <c r="D204">
        <f>_xlfn.XLOOKUP(A204, produk!$B:$B, produk!$A:$A)</f>
        <v>52</v>
      </c>
      <c r="E204">
        <f>_xlfn.XLOOKUP(B204, jenis_pekerjaan!$B:$B, jenis_pekerjaan!$A:$A)</f>
        <v>16</v>
      </c>
      <c r="F204" s="7">
        <v>0.9</v>
      </c>
      <c r="G204">
        <f t="shared" si="3"/>
        <v>0.9</v>
      </c>
    </row>
    <row r="205" spans="1:7" x14ac:dyDescent="0.35">
      <c r="A205" t="s">
        <v>52</v>
      </c>
      <c r="B205" t="s">
        <v>172</v>
      </c>
      <c r="D205">
        <f>_xlfn.XLOOKUP(A205, produk!$B:$B, produk!$A:$A)</f>
        <v>52</v>
      </c>
      <c r="E205">
        <f>_xlfn.XLOOKUP(B205, jenis_pekerjaan!$B:$B, jenis_pekerjaan!$A:$A)</f>
        <v>55</v>
      </c>
      <c r="F205" s="7" t="s">
        <v>210</v>
      </c>
      <c r="G205" t="e">
        <f t="shared" si="3"/>
        <v>#VALUE!</v>
      </c>
    </row>
    <row r="206" spans="1:7" x14ac:dyDescent="0.35">
      <c r="D206">
        <f>_xlfn.XLOOKUP(A206, produk!$B:$B, produk!$A:$A)</f>
        <v>0</v>
      </c>
      <c r="E206">
        <f>_xlfn.XLOOKUP(B206, jenis_pekerjaan!$B:$B, jenis_pekerjaan!$A:$A)</f>
        <v>0</v>
      </c>
      <c r="F206" s="7"/>
      <c r="G206">
        <f t="shared" si="3"/>
        <v>0</v>
      </c>
    </row>
    <row r="207" spans="1:7" x14ac:dyDescent="0.35">
      <c r="A207" t="s">
        <v>53</v>
      </c>
      <c r="B207" t="s">
        <v>120</v>
      </c>
      <c r="C207" s="3">
        <v>3700</v>
      </c>
      <c r="D207">
        <f>_xlfn.XLOOKUP(A207, produk!$B:$B, produk!$A:$A)</f>
        <v>53</v>
      </c>
      <c r="E207">
        <f>_xlfn.XLOOKUP(B207, jenis_pekerjaan!$B:$B, jenis_pekerjaan!$A:$A)</f>
        <v>1</v>
      </c>
      <c r="F207" s="7">
        <v>0.1021621622</v>
      </c>
      <c r="G207">
        <f t="shared" si="3"/>
        <v>0.1</v>
      </c>
    </row>
    <row r="208" spans="1:7" x14ac:dyDescent="0.35">
      <c r="A208" t="s">
        <v>53</v>
      </c>
      <c r="B208" t="s">
        <v>121</v>
      </c>
      <c r="D208">
        <f>_xlfn.XLOOKUP(A208, produk!$B:$B, produk!$A:$A)</f>
        <v>53</v>
      </c>
      <c r="E208">
        <f>_xlfn.XLOOKUP(B208, jenis_pekerjaan!$B:$B, jenis_pekerjaan!$A:$A)</f>
        <v>2</v>
      </c>
      <c r="F208" s="7" t="s">
        <v>210</v>
      </c>
      <c r="G208" t="e">
        <f t="shared" si="3"/>
        <v>#VALUE!</v>
      </c>
    </row>
    <row r="209" spans="1:7" x14ac:dyDescent="0.35">
      <c r="A209" t="s">
        <v>53</v>
      </c>
      <c r="B209" t="s">
        <v>142</v>
      </c>
      <c r="D209">
        <f>_xlfn.XLOOKUP(A209, produk!$B:$B, produk!$A:$A)</f>
        <v>53</v>
      </c>
      <c r="E209">
        <f>_xlfn.XLOOKUP(B209, jenis_pekerjaan!$B:$B, jenis_pekerjaan!$A:$A)</f>
        <v>23</v>
      </c>
      <c r="F209" s="7" t="s">
        <v>210</v>
      </c>
      <c r="G209" t="e">
        <f t="shared" si="3"/>
        <v>#VALUE!</v>
      </c>
    </row>
    <row r="210" spans="1:7" x14ac:dyDescent="0.35">
      <c r="A210" t="s">
        <v>53</v>
      </c>
      <c r="B210" t="s">
        <v>122</v>
      </c>
      <c r="D210">
        <f>_xlfn.XLOOKUP(A210, produk!$B:$B, produk!$A:$A)</f>
        <v>53</v>
      </c>
      <c r="E210">
        <f>_xlfn.XLOOKUP(B210, jenis_pekerjaan!$B:$B, jenis_pekerjaan!$A:$A)</f>
        <v>3</v>
      </c>
      <c r="F210" s="7" t="s">
        <v>210</v>
      </c>
      <c r="G210" t="e">
        <f t="shared" si="3"/>
        <v>#VALUE!</v>
      </c>
    </row>
    <row r="211" spans="1:7" x14ac:dyDescent="0.35">
      <c r="D211">
        <f>_xlfn.XLOOKUP(A211, produk!$B:$B, produk!$A:$A)</f>
        <v>0</v>
      </c>
      <c r="E211">
        <f>_xlfn.XLOOKUP(B211, jenis_pekerjaan!$B:$B, jenis_pekerjaan!$A:$A)</f>
        <v>0</v>
      </c>
      <c r="F211" s="7"/>
      <c r="G211">
        <f t="shared" si="3"/>
        <v>0</v>
      </c>
    </row>
    <row r="212" spans="1:7" x14ac:dyDescent="0.35">
      <c r="A212" t="s">
        <v>54</v>
      </c>
      <c r="B212" t="s">
        <v>120</v>
      </c>
      <c r="C212" s="3">
        <v>3700</v>
      </c>
      <c r="D212">
        <f>_xlfn.XLOOKUP(A212, produk!$B:$B, produk!$A:$A)</f>
        <v>54</v>
      </c>
      <c r="E212">
        <f>_xlfn.XLOOKUP(B212, jenis_pekerjaan!$B:$B, jenis_pekerjaan!$A:$A)</f>
        <v>1</v>
      </c>
      <c r="F212" s="7">
        <v>0.1021621622</v>
      </c>
      <c r="G212">
        <f t="shared" si="3"/>
        <v>0.1</v>
      </c>
    </row>
    <row r="213" spans="1:7" x14ac:dyDescent="0.35">
      <c r="A213" t="s">
        <v>54</v>
      </c>
      <c r="B213" t="s">
        <v>123</v>
      </c>
      <c r="D213">
        <f>_xlfn.XLOOKUP(A213, produk!$B:$B, produk!$A:$A)</f>
        <v>54</v>
      </c>
      <c r="E213">
        <f>_xlfn.XLOOKUP(B213, jenis_pekerjaan!$B:$B, jenis_pekerjaan!$A:$A)</f>
        <v>4</v>
      </c>
      <c r="F213" s="7" t="s">
        <v>210</v>
      </c>
      <c r="G213" t="e">
        <f t="shared" si="3"/>
        <v>#VALUE!</v>
      </c>
    </row>
    <row r="214" spans="1:7" x14ac:dyDescent="0.35">
      <c r="A214" t="s">
        <v>54</v>
      </c>
      <c r="B214" t="s">
        <v>124</v>
      </c>
      <c r="D214">
        <f>_xlfn.XLOOKUP(A214, produk!$B:$B, produk!$A:$A)</f>
        <v>54</v>
      </c>
      <c r="E214">
        <f>_xlfn.XLOOKUP(B214, jenis_pekerjaan!$B:$B, jenis_pekerjaan!$A:$A)</f>
        <v>5</v>
      </c>
      <c r="F214" s="7" t="s">
        <v>210</v>
      </c>
      <c r="G214" t="e">
        <f t="shared" si="3"/>
        <v>#VALUE!</v>
      </c>
    </row>
    <row r="215" spans="1:7" x14ac:dyDescent="0.35">
      <c r="D215">
        <f>_xlfn.XLOOKUP(A215, produk!$B:$B, produk!$A:$A)</f>
        <v>0</v>
      </c>
      <c r="E215">
        <f>_xlfn.XLOOKUP(B215, jenis_pekerjaan!$B:$B, jenis_pekerjaan!$A:$A)</f>
        <v>0</v>
      </c>
      <c r="F215" s="7"/>
      <c r="G215">
        <f t="shared" si="3"/>
        <v>0</v>
      </c>
    </row>
    <row r="216" spans="1:7" x14ac:dyDescent="0.35">
      <c r="A216" t="s">
        <v>55</v>
      </c>
      <c r="B216" t="s">
        <v>120</v>
      </c>
      <c r="C216" s="3">
        <v>3700</v>
      </c>
      <c r="D216">
        <f>_xlfn.XLOOKUP(A216, produk!$B:$B, produk!$A:$A)</f>
        <v>55</v>
      </c>
      <c r="E216">
        <f>_xlfn.XLOOKUP(B216, jenis_pekerjaan!$B:$B, jenis_pekerjaan!$A:$A)</f>
        <v>1</v>
      </c>
      <c r="F216" s="7">
        <v>0.1021621622</v>
      </c>
      <c r="G216">
        <f t="shared" si="3"/>
        <v>0.1</v>
      </c>
    </row>
    <row r="217" spans="1:7" x14ac:dyDescent="0.35">
      <c r="A217" t="s">
        <v>55</v>
      </c>
      <c r="B217" t="s">
        <v>123</v>
      </c>
      <c r="D217">
        <f>_xlfn.XLOOKUP(A217, produk!$B:$B, produk!$A:$A)</f>
        <v>55</v>
      </c>
      <c r="E217">
        <f>_xlfn.XLOOKUP(B217, jenis_pekerjaan!$B:$B, jenis_pekerjaan!$A:$A)</f>
        <v>4</v>
      </c>
      <c r="F217" s="7" t="s">
        <v>210</v>
      </c>
      <c r="G217" t="e">
        <f t="shared" si="3"/>
        <v>#VALUE!</v>
      </c>
    </row>
    <row r="218" spans="1:7" x14ac:dyDescent="0.35">
      <c r="A218" t="s">
        <v>55</v>
      </c>
      <c r="B218" t="s">
        <v>124</v>
      </c>
      <c r="D218">
        <f>_xlfn.XLOOKUP(A218, produk!$B:$B, produk!$A:$A)</f>
        <v>55</v>
      </c>
      <c r="E218">
        <f>_xlfn.XLOOKUP(B218, jenis_pekerjaan!$B:$B, jenis_pekerjaan!$A:$A)</f>
        <v>5</v>
      </c>
      <c r="F218" s="7" t="s">
        <v>210</v>
      </c>
      <c r="G218" t="e">
        <f t="shared" si="3"/>
        <v>#VALUE!</v>
      </c>
    </row>
    <row r="219" spans="1:7" x14ac:dyDescent="0.35">
      <c r="D219">
        <f>_xlfn.XLOOKUP(A219, produk!$B:$B, produk!$A:$A)</f>
        <v>0</v>
      </c>
      <c r="E219">
        <f>_xlfn.XLOOKUP(B219, jenis_pekerjaan!$B:$B, jenis_pekerjaan!$A:$A)</f>
        <v>0</v>
      </c>
      <c r="F219" s="7"/>
      <c r="G219">
        <f t="shared" si="3"/>
        <v>0</v>
      </c>
    </row>
    <row r="220" spans="1:7" x14ac:dyDescent="0.35">
      <c r="A220" t="s">
        <v>56</v>
      </c>
      <c r="B220" t="s">
        <v>120</v>
      </c>
      <c r="C220" s="3">
        <v>3780</v>
      </c>
      <c r="D220">
        <f>_xlfn.XLOOKUP(A220, produk!$B:$B, produk!$A:$A)</f>
        <v>56</v>
      </c>
      <c r="E220">
        <f>_xlfn.XLOOKUP(B220, jenis_pekerjaan!$B:$B, jenis_pekerjaan!$A:$A)</f>
        <v>1</v>
      </c>
      <c r="F220" s="7">
        <v>0.1</v>
      </c>
      <c r="G220">
        <f t="shared" si="3"/>
        <v>0.1</v>
      </c>
    </row>
    <row r="221" spans="1:7" x14ac:dyDescent="0.35">
      <c r="A221" t="s">
        <v>56</v>
      </c>
      <c r="B221" t="s">
        <v>123</v>
      </c>
      <c r="C221" s="3">
        <v>3000</v>
      </c>
      <c r="D221">
        <f>_xlfn.XLOOKUP(A221, produk!$B:$B, produk!$A:$A)</f>
        <v>56</v>
      </c>
      <c r="E221">
        <f>_xlfn.XLOOKUP(B221, jenis_pekerjaan!$B:$B, jenis_pekerjaan!$A:$A)</f>
        <v>4</v>
      </c>
      <c r="F221" s="7">
        <v>0.126</v>
      </c>
      <c r="G221">
        <f t="shared" si="3"/>
        <v>0.12</v>
      </c>
    </row>
    <row r="222" spans="1:7" x14ac:dyDescent="0.35">
      <c r="A222" t="s">
        <v>56</v>
      </c>
      <c r="B222" t="s">
        <v>124</v>
      </c>
      <c r="D222">
        <f>_xlfn.XLOOKUP(A222, produk!$B:$B, produk!$A:$A)</f>
        <v>56</v>
      </c>
      <c r="E222">
        <f>_xlfn.XLOOKUP(B222, jenis_pekerjaan!$B:$B, jenis_pekerjaan!$A:$A)</f>
        <v>5</v>
      </c>
      <c r="F222" s="7" t="s">
        <v>210</v>
      </c>
      <c r="G222" t="e">
        <f t="shared" si="3"/>
        <v>#VALUE!</v>
      </c>
    </row>
    <row r="223" spans="1:7" x14ac:dyDescent="0.35">
      <c r="D223">
        <f>_xlfn.XLOOKUP(A223, produk!$B:$B, produk!$A:$A)</f>
        <v>0</v>
      </c>
      <c r="E223">
        <f>_xlfn.XLOOKUP(B223, jenis_pekerjaan!$B:$B, jenis_pekerjaan!$A:$A)</f>
        <v>0</v>
      </c>
      <c r="F223" s="7"/>
      <c r="G223">
        <f t="shared" si="3"/>
        <v>0</v>
      </c>
    </row>
    <row r="224" spans="1:7" x14ac:dyDescent="0.35">
      <c r="A224" t="s">
        <v>57</v>
      </c>
      <c r="B224" t="s">
        <v>120</v>
      </c>
      <c r="C224" s="3">
        <v>5670</v>
      </c>
      <c r="D224">
        <f>_xlfn.XLOOKUP(A224, produk!$B:$B, produk!$A:$A)</f>
        <v>57</v>
      </c>
      <c r="E224">
        <f>_xlfn.XLOOKUP(B224, jenis_pekerjaan!$B:$B, jenis_pekerjaan!$A:$A)</f>
        <v>1</v>
      </c>
      <c r="F224" s="7">
        <v>6.6666666669999999E-2</v>
      </c>
      <c r="G224">
        <f t="shared" si="3"/>
        <v>0.06</v>
      </c>
    </row>
    <row r="225" spans="1:7" x14ac:dyDescent="0.35">
      <c r="A225" t="s">
        <v>57</v>
      </c>
      <c r="B225" t="s">
        <v>121</v>
      </c>
      <c r="D225">
        <f>_xlfn.XLOOKUP(A225, produk!$B:$B, produk!$A:$A)</f>
        <v>57</v>
      </c>
      <c r="E225">
        <f>_xlfn.XLOOKUP(B225, jenis_pekerjaan!$B:$B, jenis_pekerjaan!$A:$A)</f>
        <v>2</v>
      </c>
      <c r="F225" s="7" t="s">
        <v>210</v>
      </c>
      <c r="G225" t="e">
        <f t="shared" si="3"/>
        <v>#VALUE!</v>
      </c>
    </row>
    <row r="226" spans="1:7" x14ac:dyDescent="0.35">
      <c r="D226">
        <f>_xlfn.XLOOKUP(A226, produk!$B:$B, produk!$A:$A)</f>
        <v>0</v>
      </c>
      <c r="E226">
        <f>_xlfn.XLOOKUP(B226, jenis_pekerjaan!$B:$B, jenis_pekerjaan!$A:$A)</f>
        <v>0</v>
      </c>
      <c r="F226" s="7"/>
      <c r="G226">
        <f t="shared" si="3"/>
        <v>0</v>
      </c>
    </row>
    <row r="227" spans="1:7" x14ac:dyDescent="0.35">
      <c r="A227" t="s">
        <v>58</v>
      </c>
      <c r="B227" t="s">
        <v>120</v>
      </c>
      <c r="C227" s="3">
        <v>950</v>
      </c>
      <c r="D227">
        <f>_xlfn.XLOOKUP(A227, produk!$B:$B, produk!$A:$A)</f>
        <v>58</v>
      </c>
      <c r="E227">
        <f>_xlfn.XLOOKUP(B227, jenis_pekerjaan!$B:$B, jenis_pekerjaan!$A:$A)</f>
        <v>1</v>
      </c>
      <c r="F227" s="7">
        <v>0.39789473679999998</v>
      </c>
      <c r="G227">
        <f t="shared" si="3"/>
        <v>0.39</v>
      </c>
    </row>
    <row r="228" spans="1:7" x14ac:dyDescent="0.35">
      <c r="A228" t="s">
        <v>58</v>
      </c>
      <c r="B228" t="s">
        <v>121</v>
      </c>
      <c r="C228" s="3">
        <v>2500</v>
      </c>
      <c r="D228">
        <f>_xlfn.XLOOKUP(A228, produk!$B:$B, produk!$A:$A)</f>
        <v>58</v>
      </c>
      <c r="E228">
        <f>_xlfn.XLOOKUP(B228, jenis_pekerjaan!$B:$B, jenis_pekerjaan!$A:$A)</f>
        <v>2</v>
      </c>
      <c r="F228" s="7">
        <v>0.1512</v>
      </c>
      <c r="G228">
        <f t="shared" si="3"/>
        <v>0.15</v>
      </c>
    </row>
    <row r="229" spans="1:7" x14ac:dyDescent="0.35">
      <c r="D229">
        <f>_xlfn.XLOOKUP(A229, produk!$B:$B, produk!$A:$A)</f>
        <v>0</v>
      </c>
      <c r="E229">
        <f>_xlfn.XLOOKUP(B229, jenis_pekerjaan!$B:$B, jenis_pekerjaan!$A:$A)</f>
        <v>0</v>
      </c>
      <c r="F229" s="8"/>
      <c r="G229">
        <f t="shared" si="3"/>
        <v>0</v>
      </c>
    </row>
    <row r="230" spans="1:7" x14ac:dyDescent="0.35">
      <c r="A230" t="s">
        <v>59</v>
      </c>
      <c r="B230" t="s">
        <v>120</v>
      </c>
      <c r="C230" s="3">
        <v>3780</v>
      </c>
      <c r="D230">
        <f>_xlfn.XLOOKUP(A230, produk!$B:$B, produk!$A:$A)</f>
        <v>59</v>
      </c>
      <c r="E230">
        <f>_xlfn.XLOOKUP(B230, jenis_pekerjaan!$B:$B, jenis_pekerjaan!$A:$A)</f>
        <v>1</v>
      </c>
      <c r="F230" s="7" t="s">
        <v>216</v>
      </c>
      <c r="G230" t="e">
        <f t="shared" si="3"/>
        <v>#VALUE!</v>
      </c>
    </row>
    <row r="231" spans="1:7" x14ac:dyDescent="0.35">
      <c r="A231" t="s">
        <v>59</v>
      </c>
      <c r="B231" t="s">
        <v>168</v>
      </c>
      <c r="D231">
        <f>_xlfn.XLOOKUP(A231, produk!$B:$B, produk!$A:$A)</f>
        <v>59</v>
      </c>
      <c r="E231">
        <f>_xlfn.XLOOKUP(B231, jenis_pekerjaan!$B:$B, jenis_pekerjaan!$A:$A)</f>
        <v>49</v>
      </c>
      <c r="F231" s="7" t="s">
        <v>210</v>
      </c>
      <c r="G231" t="e">
        <f t="shared" si="3"/>
        <v>#VALUE!</v>
      </c>
    </row>
    <row r="232" spans="1:7" x14ac:dyDescent="0.35">
      <c r="D232">
        <f>_xlfn.XLOOKUP(A232, produk!$B:$B, produk!$A:$A)</f>
        <v>0</v>
      </c>
      <c r="E232">
        <f>_xlfn.XLOOKUP(B232, jenis_pekerjaan!$B:$B, jenis_pekerjaan!$A:$A)</f>
        <v>0</v>
      </c>
      <c r="F232" s="8"/>
      <c r="G232">
        <f t="shared" si="3"/>
        <v>0</v>
      </c>
    </row>
    <row r="233" spans="1:7" x14ac:dyDescent="0.35">
      <c r="A233" t="s">
        <v>60</v>
      </c>
      <c r="B233" t="s">
        <v>120</v>
      </c>
      <c r="C233" s="3">
        <v>3780</v>
      </c>
      <c r="D233">
        <f>_xlfn.XLOOKUP(A233, produk!$B:$B, produk!$A:$A)</f>
        <v>60</v>
      </c>
      <c r="E233">
        <f>_xlfn.XLOOKUP(B233, jenis_pekerjaan!$B:$B, jenis_pekerjaan!$A:$A)</f>
        <v>1</v>
      </c>
      <c r="F233" s="7" t="s">
        <v>216</v>
      </c>
      <c r="G233" t="e">
        <f t="shared" si="3"/>
        <v>#VALUE!</v>
      </c>
    </row>
    <row r="234" spans="1:7" x14ac:dyDescent="0.35">
      <c r="A234" t="s">
        <v>60</v>
      </c>
      <c r="B234" t="s">
        <v>168</v>
      </c>
      <c r="D234">
        <f>_xlfn.XLOOKUP(A234, produk!$B:$B, produk!$A:$A)</f>
        <v>60</v>
      </c>
      <c r="E234">
        <f>_xlfn.XLOOKUP(B234, jenis_pekerjaan!$B:$B, jenis_pekerjaan!$A:$A)</f>
        <v>49</v>
      </c>
      <c r="F234" s="7" t="s">
        <v>210</v>
      </c>
      <c r="G234" t="e">
        <f t="shared" si="3"/>
        <v>#VALUE!</v>
      </c>
    </row>
    <row r="235" spans="1:7" x14ac:dyDescent="0.35">
      <c r="D235">
        <f>_xlfn.XLOOKUP(A235, produk!$B:$B, produk!$A:$A)</f>
        <v>0</v>
      </c>
      <c r="E235">
        <f>_xlfn.XLOOKUP(B235, jenis_pekerjaan!$B:$B, jenis_pekerjaan!$A:$A)</f>
        <v>0</v>
      </c>
      <c r="F235" s="8"/>
      <c r="G235">
        <f t="shared" si="3"/>
        <v>0</v>
      </c>
    </row>
    <row r="236" spans="1:7" x14ac:dyDescent="0.35">
      <c r="A236" t="s">
        <v>61</v>
      </c>
      <c r="B236" t="s">
        <v>120</v>
      </c>
      <c r="C236" s="3">
        <v>4500</v>
      </c>
      <c r="D236">
        <f>_xlfn.XLOOKUP(A236, produk!$B:$B, produk!$A:$A)</f>
        <v>61</v>
      </c>
      <c r="E236">
        <f>_xlfn.XLOOKUP(B236, jenis_pekerjaan!$B:$B, jenis_pekerjaan!$A:$A)</f>
        <v>1</v>
      </c>
      <c r="F236" s="7">
        <v>8.4000000000000005E-2</v>
      </c>
      <c r="G236">
        <f t="shared" si="3"/>
        <v>0.08</v>
      </c>
    </row>
    <row r="237" spans="1:7" x14ac:dyDescent="0.35">
      <c r="A237" t="s">
        <v>61</v>
      </c>
      <c r="B237" t="s">
        <v>121</v>
      </c>
      <c r="C237" s="3">
        <v>6900</v>
      </c>
      <c r="D237">
        <f>_xlfn.XLOOKUP(A237, produk!$B:$B, produk!$A:$A)</f>
        <v>61</v>
      </c>
      <c r="E237">
        <f>_xlfn.XLOOKUP(B237, jenis_pekerjaan!$B:$B, jenis_pekerjaan!$A:$A)</f>
        <v>2</v>
      </c>
      <c r="F237" s="7">
        <v>5.4782608699999999E-2</v>
      </c>
      <c r="G237">
        <f t="shared" si="3"/>
        <v>0.05</v>
      </c>
    </row>
    <row r="238" spans="1:7" x14ac:dyDescent="0.35">
      <c r="A238" t="s">
        <v>61</v>
      </c>
      <c r="B238" t="s">
        <v>168</v>
      </c>
      <c r="D238">
        <f>_xlfn.XLOOKUP(A238, produk!$B:$B, produk!$A:$A)</f>
        <v>61</v>
      </c>
      <c r="E238">
        <f>_xlfn.XLOOKUP(B238, jenis_pekerjaan!$B:$B, jenis_pekerjaan!$A:$A)</f>
        <v>49</v>
      </c>
      <c r="F238" s="7" t="s">
        <v>210</v>
      </c>
      <c r="G238" t="e">
        <f t="shared" si="3"/>
        <v>#VALUE!</v>
      </c>
    </row>
    <row r="239" spans="1:7" x14ac:dyDescent="0.35">
      <c r="D239">
        <f>_xlfn.XLOOKUP(A239, produk!$B:$B, produk!$A:$A)</f>
        <v>0</v>
      </c>
      <c r="E239">
        <f>_xlfn.XLOOKUP(B239, jenis_pekerjaan!$B:$B, jenis_pekerjaan!$A:$A)</f>
        <v>0</v>
      </c>
      <c r="F239" s="7"/>
      <c r="G239">
        <f t="shared" si="3"/>
        <v>0</v>
      </c>
    </row>
    <row r="240" spans="1:7" x14ac:dyDescent="0.35">
      <c r="A240" t="s">
        <v>62</v>
      </c>
      <c r="B240" t="s">
        <v>120</v>
      </c>
      <c r="C240" s="3">
        <v>5400</v>
      </c>
      <c r="D240">
        <f>_xlfn.XLOOKUP(A240, produk!$B:$B, produk!$A:$A)</f>
        <v>62</v>
      </c>
      <c r="E240">
        <f>_xlfn.XLOOKUP(B240, jenis_pekerjaan!$B:$B, jenis_pekerjaan!$A:$A)</f>
        <v>1</v>
      </c>
      <c r="F240" s="7">
        <v>7.0000000000000007E-2</v>
      </c>
      <c r="G240">
        <f t="shared" si="3"/>
        <v>7.0000000000000007E-2</v>
      </c>
    </row>
    <row r="241" spans="1:7" x14ac:dyDescent="0.35">
      <c r="A241" t="s">
        <v>62</v>
      </c>
      <c r="B241" t="s">
        <v>135</v>
      </c>
      <c r="C241" s="3">
        <v>1400</v>
      </c>
      <c r="D241">
        <f>_xlfn.XLOOKUP(A241, produk!$B:$B, produk!$A:$A)</f>
        <v>62</v>
      </c>
      <c r="E241">
        <f>_xlfn.XLOOKUP(B241, jenis_pekerjaan!$B:$B, jenis_pekerjaan!$A:$A)</f>
        <v>16</v>
      </c>
      <c r="F241" s="7">
        <v>0.27</v>
      </c>
      <c r="G241">
        <f t="shared" si="3"/>
        <v>0.27</v>
      </c>
    </row>
    <row r="242" spans="1:7" x14ac:dyDescent="0.35">
      <c r="A242" t="s">
        <v>62</v>
      </c>
      <c r="B242" t="s">
        <v>121</v>
      </c>
      <c r="C242" s="3">
        <v>4500</v>
      </c>
      <c r="D242">
        <f>_xlfn.XLOOKUP(A242, produk!$B:$B, produk!$A:$A)</f>
        <v>62</v>
      </c>
      <c r="E242">
        <f>_xlfn.XLOOKUP(B242, jenis_pekerjaan!$B:$B, jenis_pekerjaan!$A:$A)</f>
        <v>2</v>
      </c>
      <c r="F242" s="7">
        <v>8.4000000000000005E-2</v>
      </c>
      <c r="G242">
        <f t="shared" si="3"/>
        <v>0.08</v>
      </c>
    </row>
    <row r="243" spans="1:7" x14ac:dyDescent="0.35">
      <c r="A243" t="s">
        <v>62</v>
      </c>
      <c r="B243" t="s">
        <v>139</v>
      </c>
      <c r="C243" s="3">
        <v>2800</v>
      </c>
      <c r="D243">
        <f>_xlfn.XLOOKUP(A243, produk!$B:$B, produk!$A:$A)</f>
        <v>62</v>
      </c>
      <c r="E243">
        <f>_xlfn.XLOOKUP(B243, jenis_pekerjaan!$B:$B, jenis_pekerjaan!$A:$A)</f>
        <v>20</v>
      </c>
      <c r="F243" s="7">
        <v>0.13500000000000001</v>
      </c>
      <c r="G243">
        <f t="shared" si="3"/>
        <v>0.13</v>
      </c>
    </row>
    <row r="244" spans="1:7" x14ac:dyDescent="0.35">
      <c r="A244" t="s">
        <v>62</v>
      </c>
      <c r="D244">
        <f>_xlfn.XLOOKUP(A244, produk!$B:$B, produk!$A:$A)</f>
        <v>62</v>
      </c>
      <c r="E244">
        <f>_xlfn.XLOOKUP(B244, jenis_pekerjaan!$B:$B, jenis_pekerjaan!$A:$A)</f>
        <v>0</v>
      </c>
      <c r="F244" s="7" t="s">
        <v>210</v>
      </c>
      <c r="G244" t="e">
        <f t="shared" si="3"/>
        <v>#VALUE!</v>
      </c>
    </row>
    <row r="245" spans="1:7" x14ac:dyDescent="0.35">
      <c r="D245">
        <f>_xlfn.XLOOKUP(A245, produk!$B:$B, produk!$A:$A)</f>
        <v>0</v>
      </c>
      <c r="E245">
        <f>_xlfn.XLOOKUP(B245, jenis_pekerjaan!$B:$B, jenis_pekerjaan!$A:$A)</f>
        <v>0</v>
      </c>
      <c r="F245" s="7"/>
      <c r="G245">
        <f t="shared" si="3"/>
        <v>0</v>
      </c>
    </row>
    <row r="246" spans="1:7" x14ac:dyDescent="0.35">
      <c r="A246" t="s">
        <v>63</v>
      </c>
      <c r="C246" s="3">
        <v>4900</v>
      </c>
      <c r="D246">
        <f>_xlfn.XLOOKUP(A246, produk!$B:$B, produk!$A:$A)</f>
        <v>63</v>
      </c>
      <c r="E246">
        <f>_xlfn.XLOOKUP(B246, jenis_pekerjaan!$B:$B, jenis_pekerjaan!$A:$A)</f>
        <v>0</v>
      </c>
      <c r="F246" s="7">
        <v>7.7142857140000007E-2</v>
      </c>
      <c r="G246">
        <f t="shared" si="3"/>
        <v>7.0000000000000007E-2</v>
      </c>
    </row>
    <row r="247" spans="1:7" x14ac:dyDescent="0.35">
      <c r="D247">
        <f>_xlfn.XLOOKUP(A247, produk!$B:$B, produk!$A:$A)</f>
        <v>0</v>
      </c>
      <c r="E247">
        <f>_xlfn.XLOOKUP(B247, jenis_pekerjaan!$B:$B, jenis_pekerjaan!$A:$A)</f>
        <v>0</v>
      </c>
      <c r="F247" s="7"/>
      <c r="G247">
        <f t="shared" si="3"/>
        <v>0</v>
      </c>
    </row>
    <row r="248" spans="1:7" x14ac:dyDescent="0.35">
      <c r="A248" t="s">
        <v>64</v>
      </c>
      <c r="B248" t="s">
        <v>120</v>
      </c>
      <c r="C248" s="3">
        <v>4400</v>
      </c>
      <c r="D248">
        <f>_xlfn.XLOOKUP(A248, produk!$B:$B, produk!$A:$A)</f>
        <v>64</v>
      </c>
      <c r="E248">
        <f>_xlfn.XLOOKUP(B248, jenis_pekerjaan!$B:$B, jenis_pekerjaan!$A:$A)</f>
        <v>1</v>
      </c>
      <c r="F248" s="7">
        <v>8.5909090909999999E-2</v>
      </c>
      <c r="G248">
        <f t="shared" si="3"/>
        <v>0.08</v>
      </c>
    </row>
    <row r="249" spans="1:7" x14ac:dyDescent="0.35">
      <c r="A249" t="s">
        <v>64</v>
      </c>
      <c r="B249" t="s">
        <v>121</v>
      </c>
      <c r="D249">
        <f>_xlfn.XLOOKUP(A249, produk!$B:$B, produk!$A:$A)</f>
        <v>64</v>
      </c>
      <c r="E249">
        <f>_xlfn.XLOOKUP(B249, jenis_pekerjaan!$B:$B, jenis_pekerjaan!$A:$A)</f>
        <v>2</v>
      </c>
      <c r="F249" s="7" t="s">
        <v>210</v>
      </c>
      <c r="G249" t="e">
        <f t="shared" si="3"/>
        <v>#VALUE!</v>
      </c>
    </row>
    <row r="250" spans="1:7" x14ac:dyDescent="0.35">
      <c r="A250" t="s">
        <v>64</v>
      </c>
      <c r="B250" t="s">
        <v>135</v>
      </c>
      <c r="C250" s="3">
        <v>250</v>
      </c>
      <c r="D250">
        <f>_xlfn.XLOOKUP(A250, produk!$B:$B, produk!$A:$A)</f>
        <v>64</v>
      </c>
      <c r="E250">
        <f>_xlfn.XLOOKUP(B250, jenis_pekerjaan!$B:$B, jenis_pekerjaan!$A:$A)</f>
        <v>16</v>
      </c>
      <c r="F250" s="7">
        <v>1.512</v>
      </c>
      <c r="G250">
        <f t="shared" si="3"/>
        <v>1.51</v>
      </c>
    </row>
    <row r="251" spans="1:7" x14ac:dyDescent="0.35">
      <c r="A251" t="s">
        <v>64</v>
      </c>
      <c r="B251" t="s">
        <v>142</v>
      </c>
      <c r="D251">
        <f>_xlfn.XLOOKUP(A251, produk!$B:$B, produk!$A:$A)</f>
        <v>64</v>
      </c>
      <c r="E251">
        <f>_xlfn.XLOOKUP(B251, jenis_pekerjaan!$B:$B, jenis_pekerjaan!$A:$A)</f>
        <v>23</v>
      </c>
      <c r="F251" s="7" t="s">
        <v>210</v>
      </c>
      <c r="G251" t="e">
        <f t="shared" si="3"/>
        <v>#VALUE!</v>
      </c>
    </row>
    <row r="252" spans="1:7" x14ac:dyDescent="0.35">
      <c r="D252">
        <f>_xlfn.XLOOKUP(A252, produk!$B:$B, produk!$A:$A)</f>
        <v>0</v>
      </c>
      <c r="E252">
        <f>_xlfn.XLOOKUP(B252, jenis_pekerjaan!$B:$B, jenis_pekerjaan!$A:$A)</f>
        <v>0</v>
      </c>
      <c r="F252" s="7"/>
      <c r="G252">
        <f t="shared" si="3"/>
        <v>0</v>
      </c>
    </row>
    <row r="253" spans="1:7" x14ac:dyDescent="0.35">
      <c r="A253" t="s">
        <v>65</v>
      </c>
      <c r="B253" t="s">
        <v>120</v>
      </c>
      <c r="C253" s="3">
        <v>3200</v>
      </c>
      <c r="D253">
        <f>_xlfn.XLOOKUP(A253, produk!$B:$B, produk!$A:$A)</f>
        <v>65</v>
      </c>
      <c r="E253">
        <f>_xlfn.XLOOKUP(B253, jenis_pekerjaan!$B:$B, jenis_pekerjaan!$A:$A)</f>
        <v>1</v>
      </c>
      <c r="F253" s="7">
        <v>0.11812499999999999</v>
      </c>
      <c r="G253">
        <f t="shared" si="3"/>
        <v>0.11</v>
      </c>
    </row>
    <row r="254" spans="1:7" x14ac:dyDescent="0.35">
      <c r="A254" t="s">
        <v>65</v>
      </c>
      <c r="B254" t="s">
        <v>135</v>
      </c>
      <c r="C254" s="3">
        <v>360</v>
      </c>
      <c r="D254">
        <f>_xlfn.XLOOKUP(A254, produk!$B:$B, produk!$A:$A)</f>
        <v>65</v>
      </c>
      <c r="E254">
        <f>_xlfn.XLOOKUP(B254, jenis_pekerjaan!$B:$B, jenis_pekerjaan!$A:$A)</f>
        <v>16</v>
      </c>
      <c r="F254" s="7">
        <v>1.05</v>
      </c>
      <c r="G254">
        <f t="shared" si="3"/>
        <v>1.05</v>
      </c>
    </row>
    <row r="255" spans="1:7" x14ac:dyDescent="0.35">
      <c r="D255">
        <f>_xlfn.XLOOKUP(A255, produk!$B:$B, produk!$A:$A)</f>
        <v>0</v>
      </c>
      <c r="E255">
        <f>_xlfn.XLOOKUP(B255, jenis_pekerjaan!$B:$B, jenis_pekerjaan!$A:$A)</f>
        <v>0</v>
      </c>
      <c r="F255" s="8"/>
      <c r="G255">
        <f t="shared" si="3"/>
        <v>0</v>
      </c>
    </row>
    <row r="256" spans="1:7" x14ac:dyDescent="0.35">
      <c r="A256" t="s">
        <v>66</v>
      </c>
      <c r="B256" t="s">
        <v>120</v>
      </c>
      <c r="C256" s="3">
        <v>7500</v>
      </c>
      <c r="D256">
        <f>_xlfn.XLOOKUP(A256, produk!$B:$B, produk!$A:$A)</f>
        <v>66</v>
      </c>
      <c r="E256">
        <f>_xlfn.XLOOKUP(B256, jenis_pekerjaan!$B:$B, jenis_pekerjaan!$A:$A)</f>
        <v>1</v>
      </c>
      <c r="F256" s="7" t="s">
        <v>215</v>
      </c>
      <c r="G256" t="e">
        <f t="shared" si="3"/>
        <v>#VALUE!</v>
      </c>
    </row>
    <row r="257" spans="1:7" x14ac:dyDescent="0.35">
      <c r="A257" t="s">
        <v>66</v>
      </c>
      <c r="B257" t="s">
        <v>135</v>
      </c>
      <c r="C257" s="3">
        <v>1300</v>
      </c>
      <c r="D257">
        <f>_xlfn.XLOOKUP(A257, produk!$B:$B, produk!$A:$A)</f>
        <v>66</v>
      </c>
      <c r="E257">
        <f>_xlfn.XLOOKUP(B257, jenis_pekerjaan!$B:$B, jenis_pekerjaan!$A:$A)</f>
        <v>16</v>
      </c>
      <c r="F257" s="7">
        <v>0.2907692308</v>
      </c>
      <c r="G257">
        <f t="shared" si="3"/>
        <v>0.28999999999999998</v>
      </c>
    </row>
    <row r="258" spans="1:7" x14ac:dyDescent="0.35">
      <c r="A258" t="s">
        <v>66</v>
      </c>
      <c r="B258" t="s">
        <v>121</v>
      </c>
      <c r="C258" s="3">
        <v>6300</v>
      </c>
      <c r="D258">
        <f>_xlfn.XLOOKUP(A258, produk!$B:$B, produk!$A:$A)</f>
        <v>66</v>
      </c>
      <c r="E258">
        <f>_xlfn.XLOOKUP(B258, jenis_pekerjaan!$B:$B, jenis_pekerjaan!$A:$A)</f>
        <v>2</v>
      </c>
      <c r="F258" s="7">
        <v>0.06</v>
      </c>
      <c r="G258">
        <f t="shared" si="3"/>
        <v>0.06</v>
      </c>
    </row>
    <row r="259" spans="1:7" x14ac:dyDescent="0.35">
      <c r="A259" t="s">
        <v>66</v>
      </c>
      <c r="B259" t="s">
        <v>184</v>
      </c>
      <c r="D259">
        <f>_xlfn.XLOOKUP(A259, produk!$B:$B, produk!$A:$A)</f>
        <v>66</v>
      </c>
      <c r="E259">
        <f>_xlfn.XLOOKUP(B259, jenis_pekerjaan!$B:$B, jenis_pekerjaan!$A:$A)</f>
        <v>67</v>
      </c>
      <c r="F259" s="7" t="s">
        <v>210</v>
      </c>
      <c r="G259" t="e">
        <f t="shared" ref="G259:G322" si="4">ROUNDDOWN(F259,2)</f>
        <v>#VALUE!</v>
      </c>
    </row>
    <row r="260" spans="1:7" x14ac:dyDescent="0.35">
      <c r="A260" t="s">
        <v>66</v>
      </c>
      <c r="B260" t="s">
        <v>138</v>
      </c>
      <c r="C260" s="3">
        <v>2800</v>
      </c>
      <c r="D260">
        <f>_xlfn.XLOOKUP(A260, produk!$B:$B, produk!$A:$A)</f>
        <v>66</v>
      </c>
      <c r="E260">
        <f>_xlfn.XLOOKUP(B260, jenis_pekerjaan!$B:$B, jenis_pekerjaan!$A:$A)</f>
        <v>19</v>
      </c>
      <c r="F260" s="7">
        <v>0.13500000000000001</v>
      </c>
      <c r="G260">
        <f t="shared" si="4"/>
        <v>0.13</v>
      </c>
    </row>
    <row r="261" spans="1:7" x14ac:dyDescent="0.35">
      <c r="A261" t="s">
        <v>66</v>
      </c>
      <c r="B261" t="s">
        <v>124</v>
      </c>
      <c r="C261" s="3">
        <v>2100</v>
      </c>
      <c r="D261">
        <f>_xlfn.XLOOKUP(A261, produk!$B:$B, produk!$A:$A)</f>
        <v>66</v>
      </c>
      <c r="E261">
        <f>_xlfn.XLOOKUP(B261, jenis_pekerjaan!$B:$B, jenis_pekerjaan!$A:$A)</f>
        <v>5</v>
      </c>
      <c r="F261" s="7">
        <v>0.18</v>
      </c>
      <c r="G261">
        <f t="shared" si="4"/>
        <v>0.18</v>
      </c>
    </row>
    <row r="262" spans="1:7" x14ac:dyDescent="0.35">
      <c r="D262">
        <f>_xlfn.XLOOKUP(A262, produk!$B:$B, produk!$A:$A)</f>
        <v>0</v>
      </c>
      <c r="E262">
        <f>_xlfn.XLOOKUP(B262, jenis_pekerjaan!$B:$B, jenis_pekerjaan!$A:$A)</f>
        <v>0</v>
      </c>
      <c r="F262" s="8"/>
      <c r="G262">
        <f t="shared" si="4"/>
        <v>0</v>
      </c>
    </row>
    <row r="263" spans="1:7" x14ac:dyDescent="0.35">
      <c r="A263" t="s">
        <v>67</v>
      </c>
      <c r="B263" t="s">
        <v>120</v>
      </c>
      <c r="C263" s="3">
        <v>5400</v>
      </c>
      <c r="D263">
        <f>_xlfn.XLOOKUP(A263, produk!$B:$B, produk!$A:$A)</f>
        <v>67</v>
      </c>
      <c r="E263">
        <f>_xlfn.XLOOKUP(B263, jenis_pekerjaan!$B:$B, jenis_pekerjaan!$A:$A)</f>
        <v>1</v>
      </c>
      <c r="F263" s="7">
        <v>7.0000000000000007E-2</v>
      </c>
      <c r="G263">
        <f t="shared" si="4"/>
        <v>7.0000000000000007E-2</v>
      </c>
    </row>
    <row r="264" spans="1:7" x14ac:dyDescent="0.35">
      <c r="A264" t="s">
        <v>67</v>
      </c>
      <c r="B264" t="s">
        <v>121</v>
      </c>
      <c r="C264" s="3">
        <v>6300</v>
      </c>
      <c r="D264">
        <f>_xlfn.XLOOKUP(A264, produk!$B:$B, produk!$A:$A)</f>
        <v>67</v>
      </c>
      <c r="E264">
        <f>_xlfn.XLOOKUP(B264, jenis_pekerjaan!$B:$B, jenis_pekerjaan!$A:$A)</f>
        <v>2</v>
      </c>
      <c r="F264" s="7">
        <v>0.06</v>
      </c>
      <c r="G264">
        <f t="shared" si="4"/>
        <v>0.06</v>
      </c>
    </row>
    <row r="265" spans="1:7" x14ac:dyDescent="0.35">
      <c r="D265">
        <f>_xlfn.XLOOKUP(A265, produk!$B:$B, produk!$A:$A)</f>
        <v>0</v>
      </c>
      <c r="E265">
        <f>_xlfn.XLOOKUP(B265, jenis_pekerjaan!$B:$B, jenis_pekerjaan!$A:$A)</f>
        <v>0</v>
      </c>
      <c r="F265" s="7"/>
      <c r="G265">
        <f t="shared" si="4"/>
        <v>0</v>
      </c>
    </row>
    <row r="266" spans="1:7" x14ac:dyDescent="0.35">
      <c r="A266" t="s">
        <v>68</v>
      </c>
      <c r="B266" t="s">
        <v>120</v>
      </c>
      <c r="C266" s="3">
        <v>3400</v>
      </c>
      <c r="D266">
        <f>_xlfn.XLOOKUP(A266, produk!$B:$B, produk!$A:$A)</f>
        <v>68</v>
      </c>
      <c r="E266">
        <f>_xlfn.XLOOKUP(B266, jenis_pekerjaan!$B:$B, jenis_pekerjaan!$A:$A)</f>
        <v>1</v>
      </c>
      <c r="F266" s="7">
        <v>0.11117647059999999</v>
      </c>
      <c r="G266">
        <f t="shared" si="4"/>
        <v>0.11</v>
      </c>
    </row>
    <row r="267" spans="1:7" x14ac:dyDescent="0.35">
      <c r="A267" t="s">
        <v>68</v>
      </c>
      <c r="B267" t="s">
        <v>121</v>
      </c>
      <c r="C267" s="3">
        <v>2500</v>
      </c>
      <c r="D267">
        <f>_xlfn.XLOOKUP(A267, produk!$B:$B, produk!$A:$A)</f>
        <v>68</v>
      </c>
      <c r="E267">
        <f>_xlfn.XLOOKUP(B267, jenis_pekerjaan!$B:$B, jenis_pekerjaan!$A:$A)</f>
        <v>2</v>
      </c>
      <c r="F267" s="7">
        <v>0.1512</v>
      </c>
      <c r="G267">
        <f t="shared" si="4"/>
        <v>0.15</v>
      </c>
    </row>
    <row r="268" spans="1:7" x14ac:dyDescent="0.35">
      <c r="A268" t="s">
        <v>68</v>
      </c>
      <c r="B268" t="s">
        <v>164</v>
      </c>
      <c r="D268">
        <f>_xlfn.XLOOKUP(A268, produk!$B:$B, produk!$A:$A)</f>
        <v>68</v>
      </c>
      <c r="E268">
        <f>_xlfn.XLOOKUP(B268, jenis_pekerjaan!$B:$B, jenis_pekerjaan!$A:$A)</f>
        <v>45</v>
      </c>
      <c r="F268" s="7" t="s">
        <v>210</v>
      </c>
      <c r="G268" t="e">
        <f t="shared" si="4"/>
        <v>#VALUE!</v>
      </c>
    </row>
    <row r="269" spans="1:7" x14ac:dyDescent="0.35">
      <c r="A269" t="s">
        <v>68</v>
      </c>
      <c r="B269" t="s">
        <v>125</v>
      </c>
      <c r="C269" s="3">
        <v>800</v>
      </c>
      <c r="D269">
        <f>_xlfn.XLOOKUP(A269, produk!$B:$B, produk!$A:$A)</f>
        <v>68</v>
      </c>
      <c r="E269">
        <f>_xlfn.XLOOKUP(B269, jenis_pekerjaan!$B:$B, jenis_pekerjaan!$A:$A)</f>
        <v>6</v>
      </c>
      <c r="F269" s="7">
        <v>0.47249999999999998</v>
      </c>
      <c r="G269">
        <f t="shared" si="4"/>
        <v>0.47</v>
      </c>
    </row>
    <row r="270" spans="1:7" x14ac:dyDescent="0.35">
      <c r="A270" t="s">
        <v>68</v>
      </c>
      <c r="B270" t="s">
        <v>126</v>
      </c>
      <c r="D270">
        <f>_xlfn.XLOOKUP(A270, produk!$B:$B, produk!$A:$A)</f>
        <v>68</v>
      </c>
      <c r="E270">
        <f>_xlfn.XLOOKUP(B270, jenis_pekerjaan!$B:$B, jenis_pekerjaan!$A:$A)</f>
        <v>7</v>
      </c>
      <c r="F270" s="7" t="s">
        <v>210</v>
      </c>
      <c r="G270" t="e">
        <f t="shared" si="4"/>
        <v>#VALUE!</v>
      </c>
    </row>
    <row r="271" spans="1:7" x14ac:dyDescent="0.35">
      <c r="D271">
        <f>_xlfn.XLOOKUP(A271, produk!$B:$B, produk!$A:$A)</f>
        <v>0</v>
      </c>
      <c r="E271">
        <f>_xlfn.XLOOKUP(B271, jenis_pekerjaan!$B:$B, jenis_pekerjaan!$A:$A)</f>
        <v>0</v>
      </c>
      <c r="F271" s="7"/>
      <c r="G271">
        <f t="shared" si="4"/>
        <v>0</v>
      </c>
    </row>
    <row r="272" spans="1:7" x14ac:dyDescent="0.35">
      <c r="A272" t="s">
        <v>69</v>
      </c>
      <c r="B272" t="s">
        <v>120</v>
      </c>
      <c r="C272" s="3">
        <v>3400</v>
      </c>
      <c r="D272">
        <f>_xlfn.XLOOKUP(A272, produk!$B:$B, produk!$A:$A)</f>
        <v>69</v>
      </c>
      <c r="E272">
        <f>_xlfn.XLOOKUP(B272, jenis_pekerjaan!$B:$B, jenis_pekerjaan!$A:$A)</f>
        <v>1</v>
      </c>
      <c r="F272" s="7">
        <v>0.11117647059999999</v>
      </c>
      <c r="G272">
        <f t="shared" si="4"/>
        <v>0.11</v>
      </c>
    </row>
    <row r="273" spans="1:7" x14ac:dyDescent="0.35">
      <c r="A273" t="s">
        <v>69</v>
      </c>
      <c r="B273" t="s">
        <v>121</v>
      </c>
      <c r="C273" s="3">
        <v>2500</v>
      </c>
      <c r="D273">
        <f>_xlfn.XLOOKUP(A273, produk!$B:$B, produk!$A:$A)</f>
        <v>69</v>
      </c>
      <c r="E273">
        <f>_xlfn.XLOOKUP(B273, jenis_pekerjaan!$B:$B, jenis_pekerjaan!$A:$A)</f>
        <v>2</v>
      </c>
      <c r="F273" s="7">
        <v>0.1512</v>
      </c>
      <c r="G273">
        <f t="shared" si="4"/>
        <v>0.15</v>
      </c>
    </row>
    <row r="274" spans="1:7" x14ac:dyDescent="0.35">
      <c r="A274" t="s">
        <v>69</v>
      </c>
      <c r="B274" t="s">
        <v>164</v>
      </c>
      <c r="D274">
        <f>_xlfn.XLOOKUP(A274, produk!$B:$B, produk!$A:$A)</f>
        <v>69</v>
      </c>
      <c r="E274">
        <f>_xlfn.XLOOKUP(B274, jenis_pekerjaan!$B:$B, jenis_pekerjaan!$A:$A)</f>
        <v>45</v>
      </c>
      <c r="F274" s="7" t="s">
        <v>210</v>
      </c>
      <c r="G274" t="e">
        <f t="shared" si="4"/>
        <v>#VALUE!</v>
      </c>
    </row>
    <row r="275" spans="1:7" x14ac:dyDescent="0.35">
      <c r="A275" t="s">
        <v>69</v>
      </c>
      <c r="B275" t="s">
        <v>125</v>
      </c>
      <c r="C275" s="3">
        <v>800</v>
      </c>
      <c r="D275">
        <f>_xlfn.XLOOKUP(A275, produk!$B:$B, produk!$A:$A)</f>
        <v>69</v>
      </c>
      <c r="E275">
        <f>_xlfn.XLOOKUP(B275, jenis_pekerjaan!$B:$B, jenis_pekerjaan!$A:$A)</f>
        <v>6</v>
      </c>
      <c r="F275" s="7">
        <v>0.47249999999999998</v>
      </c>
      <c r="G275">
        <f t="shared" si="4"/>
        <v>0.47</v>
      </c>
    </row>
    <row r="276" spans="1:7" x14ac:dyDescent="0.35">
      <c r="A276" t="s">
        <v>69</v>
      </c>
      <c r="B276" t="s">
        <v>126</v>
      </c>
      <c r="D276">
        <f>_xlfn.XLOOKUP(A276, produk!$B:$B, produk!$A:$A)</f>
        <v>69</v>
      </c>
      <c r="E276">
        <f>_xlfn.XLOOKUP(B276, jenis_pekerjaan!$B:$B, jenis_pekerjaan!$A:$A)</f>
        <v>7</v>
      </c>
      <c r="F276" s="7" t="s">
        <v>210</v>
      </c>
      <c r="G276" t="e">
        <f t="shared" si="4"/>
        <v>#VALUE!</v>
      </c>
    </row>
    <row r="277" spans="1:7" x14ac:dyDescent="0.35">
      <c r="D277">
        <f>_xlfn.XLOOKUP(A277, produk!$B:$B, produk!$A:$A)</f>
        <v>0</v>
      </c>
      <c r="E277">
        <f>_xlfn.XLOOKUP(B277, jenis_pekerjaan!$B:$B, jenis_pekerjaan!$A:$A)</f>
        <v>0</v>
      </c>
      <c r="F277" s="7"/>
      <c r="G277">
        <f t="shared" si="4"/>
        <v>0</v>
      </c>
    </row>
    <row r="278" spans="1:7" x14ac:dyDescent="0.35">
      <c r="A278" t="s">
        <v>70</v>
      </c>
      <c r="B278" t="s">
        <v>120</v>
      </c>
      <c r="C278" s="3">
        <v>3400</v>
      </c>
      <c r="D278">
        <f>_xlfn.XLOOKUP(A278, produk!$B:$B, produk!$A:$A)</f>
        <v>70</v>
      </c>
      <c r="E278">
        <f>_xlfn.XLOOKUP(B278, jenis_pekerjaan!$B:$B, jenis_pekerjaan!$A:$A)</f>
        <v>1</v>
      </c>
      <c r="F278" s="7">
        <v>0.11117647059999999</v>
      </c>
      <c r="G278">
        <f t="shared" si="4"/>
        <v>0.11</v>
      </c>
    </row>
    <row r="279" spans="1:7" x14ac:dyDescent="0.35">
      <c r="A279" t="s">
        <v>70</v>
      </c>
      <c r="B279" t="s">
        <v>121</v>
      </c>
      <c r="C279" s="3">
        <v>2500</v>
      </c>
      <c r="D279">
        <f>_xlfn.XLOOKUP(A279, produk!$B:$B, produk!$A:$A)</f>
        <v>70</v>
      </c>
      <c r="E279">
        <f>_xlfn.XLOOKUP(B279, jenis_pekerjaan!$B:$B, jenis_pekerjaan!$A:$A)</f>
        <v>2</v>
      </c>
      <c r="F279" s="7">
        <v>0.1512</v>
      </c>
      <c r="G279">
        <f t="shared" si="4"/>
        <v>0.15</v>
      </c>
    </row>
    <row r="280" spans="1:7" x14ac:dyDescent="0.35">
      <c r="A280" t="s">
        <v>70</v>
      </c>
      <c r="B280" t="s">
        <v>164</v>
      </c>
      <c r="D280">
        <f>_xlfn.XLOOKUP(A280, produk!$B:$B, produk!$A:$A)</f>
        <v>70</v>
      </c>
      <c r="E280">
        <f>_xlfn.XLOOKUP(B280, jenis_pekerjaan!$B:$B, jenis_pekerjaan!$A:$A)</f>
        <v>45</v>
      </c>
      <c r="F280" s="7" t="s">
        <v>210</v>
      </c>
      <c r="G280" t="e">
        <f t="shared" si="4"/>
        <v>#VALUE!</v>
      </c>
    </row>
    <row r="281" spans="1:7" x14ac:dyDescent="0.35">
      <c r="A281" t="s">
        <v>70</v>
      </c>
      <c r="B281" t="s">
        <v>125</v>
      </c>
      <c r="C281" s="3">
        <v>800</v>
      </c>
      <c r="D281">
        <f>_xlfn.XLOOKUP(A281, produk!$B:$B, produk!$A:$A)</f>
        <v>70</v>
      </c>
      <c r="E281">
        <f>_xlfn.XLOOKUP(B281, jenis_pekerjaan!$B:$B, jenis_pekerjaan!$A:$A)</f>
        <v>6</v>
      </c>
      <c r="F281" s="7">
        <v>0.47249999999999998</v>
      </c>
      <c r="G281">
        <f t="shared" si="4"/>
        <v>0.47</v>
      </c>
    </row>
    <row r="282" spans="1:7" x14ac:dyDescent="0.35">
      <c r="A282" t="s">
        <v>70</v>
      </c>
      <c r="B282" t="s">
        <v>126</v>
      </c>
      <c r="D282">
        <f>_xlfn.XLOOKUP(A282, produk!$B:$B, produk!$A:$A)</f>
        <v>70</v>
      </c>
      <c r="E282">
        <f>_xlfn.XLOOKUP(B282, jenis_pekerjaan!$B:$B, jenis_pekerjaan!$A:$A)</f>
        <v>7</v>
      </c>
      <c r="F282" s="7" t="s">
        <v>210</v>
      </c>
      <c r="G282" t="e">
        <f t="shared" si="4"/>
        <v>#VALUE!</v>
      </c>
    </row>
    <row r="283" spans="1:7" x14ac:dyDescent="0.35">
      <c r="D283">
        <f>_xlfn.XLOOKUP(A283, produk!$B:$B, produk!$A:$A)</f>
        <v>0</v>
      </c>
      <c r="E283">
        <f>_xlfn.XLOOKUP(B283, jenis_pekerjaan!$B:$B, jenis_pekerjaan!$A:$A)</f>
        <v>0</v>
      </c>
      <c r="F283" s="7"/>
      <c r="G283">
        <f t="shared" si="4"/>
        <v>0</v>
      </c>
    </row>
    <row r="284" spans="1:7" x14ac:dyDescent="0.35">
      <c r="A284" t="s">
        <v>71</v>
      </c>
      <c r="B284" t="s">
        <v>120</v>
      </c>
      <c r="C284" s="3">
        <v>3400</v>
      </c>
      <c r="D284">
        <f>_xlfn.XLOOKUP(A284, produk!$B:$B, produk!$A:$A)</f>
        <v>71</v>
      </c>
      <c r="E284">
        <f>_xlfn.XLOOKUP(B284, jenis_pekerjaan!$B:$B, jenis_pekerjaan!$A:$A)</f>
        <v>1</v>
      </c>
      <c r="F284" s="7">
        <v>0.11117647059999999</v>
      </c>
      <c r="G284">
        <f t="shared" si="4"/>
        <v>0.11</v>
      </c>
    </row>
    <row r="285" spans="1:7" x14ac:dyDescent="0.35">
      <c r="A285" t="s">
        <v>71</v>
      </c>
      <c r="B285" t="s">
        <v>121</v>
      </c>
      <c r="C285" s="3">
        <v>2500</v>
      </c>
      <c r="D285">
        <f>_xlfn.XLOOKUP(A285, produk!$B:$B, produk!$A:$A)</f>
        <v>71</v>
      </c>
      <c r="E285">
        <f>_xlfn.XLOOKUP(B285, jenis_pekerjaan!$B:$B, jenis_pekerjaan!$A:$A)</f>
        <v>2</v>
      </c>
      <c r="F285" s="7">
        <v>0.1512</v>
      </c>
      <c r="G285">
        <f t="shared" si="4"/>
        <v>0.15</v>
      </c>
    </row>
    <row r="286" spans="1:7" x14ac:dyDescent="0.35">
      <c r="A286" t="s">
        <v>71</v>
      </c>
      <c r="B286" t="s">
        <v>164</v>
      </c>
      <c r="D286">
        <f>_xlfn.XLOOKUP(A286, produk!$B:$B, produk!$A:$A)</f>
        <v>71</v>
      </c>
      <c r="E286">
        <f>_xlfn.XLOOKUP(B286, jenis_pekerjaan!$B:$B, jenis_pekerjaan!$A:$A)</f>
        <v>45</v>
      </c>
      <c r="F286" s="7" t="s">
        <v>210</v>
      </c>
      <c r="G286" t="e">
        <f t="shared" si="4"/>
        <v>#VALUE!</v>
      </c>
    </row>
    <row r="287" spans="1:7" x14ac:dyDescent="0.35">
      <c r="A287" t="s">
        <v>71</v>
      </c>
      <c r="B287" t="s">
        <v>125</v>
      </c>
      <c r="C287" s="3">
        <v>800</v>
      </c>
      <c r="D287">
        <f>_xlfn.XLOOKUP(A287, produk!$B:$B, produk!$A:$A)</f>
        <v>71</v>
      </c>
      <c r="E287">
        <f>_xlfn.XLOOKUP(B287, jenis_pekerjaan!$B:$B, jenis_pekerjaan!$A:$A)</f>
        <v>6</v>
      </c>
      <c r="F287" s="7">
        <v>0.47249999999999998</v>
      </c>
      <c r="G287">
        <f t="shared" si="4"/>
        <v>0.47</v>
      </c>
    </row>
    <row r="288" spans="1:7" x14ac:dyDescent="0.35">
      <c r="A288" t="s">
        <v>71</v>
      </c>
      <c r="B288" t="s">
        <v>126</v>
      </c>
      <c r="D288">
        <f>_xlfn.XLOOKUP(A288, produk!$B:$B, produk!$A:$A)</f>
        <v>71</v>
      </c>
      <c r="E288">
        <f>_xlfn.XLOOKUP(B288, jenis_pekerjaan!$B:$B, jenis_pekerjaan!$A:$A)</f>
        <v>7</v>
      </c>
      <c r="F288" s="7" t="s">
        <v>210</v>
      </c>
      <c r="G288" t="e">
        <f t="shared" si="4"/>
        <v>#VALUE!</v>
      </c>
    </row>
    <row r="289" spans="1:7" x14ac:dyDescent="0.35">
      <c r="D289">
        <f>_xlfn.XLOOKUP(A289, produk!$B:$B, produk!$A:$A)</f>
        <v>0</v>
      </c>
      <c r="E289">
        <f>_xlfn.XLOOKUP(B289, jenis_pekerjaan!$B:$B, jenis_pekerjaan!$A:$A)</f>
        <v>0</v>
      </c>
      <c r="F289" s="7"/>
      <c r="G289">
        <f t="shared" si="4"/>
        <v>0</v>
      </c>
    </row>
    <row r="290" spans="1:7" x14ac:dyDescent="0.35">
      <c r="A290" t="s">
        <v>72</v>
      </c>
      <c r="B290" t="s">
        <v>120</v>
      </c>
      <c r="C290" s="3">
        <v>3780</v>
      </c>
      <c r="D290">
        <f>_xlfn.XLOOKUP(A290, produk!$B:$B, produk!$A:$A)</f>
        <v>72</v>
      </c>
      <c r="E290">
        <f>_xlfn.XLOOKUP(B290, jenis_pekerjaan!$B:$B, jenis_pekerjaan!$A:$A)</f>
        <v>1</v>
      </c>
      <c r="F290" s="7">
        <v>0.1</v>
      </c>
      <c r="G290">
        <f t="shared" si="4"/>
        <v>0.1</v>
      </c>
    </row>
    <row r="291" spans="1:7" x14ac:dyDescent="0.35">
      <c r="A291" t="s">
        <v>72</v>
      </c>
      <c r="B291" t="s">
        <v>121</v>
      </c>
      <c r="D291">
        <f>_xlfn.XLOOKUP(A291, produk!$B:$B, produk!$A:$A)</f>
        <v>72</v>
      </c>
      <c r="E291">
        <f>_xlfn.XLOOKUP(B291, jenis_pekerjaan!$B:$B, jenis_pekerjaan!$A:$A)</f>
        <v>2</v>
      </c>
      <c r="F291" s="7" t="s">
        <v>210</v>
      </c>
      <c r="G291" t="e">
        <f t="shared" si="4"/>
        <v>#VALUE!</v>
      </c>
    </row>
    <row r="292" spans="1:7" x14ac:dyDescent="0.35">
      <c r="A292" t="s">
        <v>72</v>
      </c>
      <c r="B292" t="s">
        <v>124</v>
      </c>
      <c r="D292">
        <f>_xlfn.XLOOKUP(A292, produk!$B:$B, produk!$A:$A)</f>
        <v>72</v>
      </c>
      <c r="E292">
        <f>_xlfn.XLOOKUP(B292, jenis_pekerjaan!$B:$B, jenis_pekerjaan!$A:$A)</f>
        <v>5</v>
      </c>
      <c r="F292" s="7" t="s">
        <v>210</v>
      </c>
      <c r="G292" t="e">
        <f t="shared" si="4"/>
        <v>#VALUE!</v>
      </c>
    </row>
    <row r="293" spans="1:7" x14ac:dyDescent="0.35">
      <c r="A293" t="s">
        <v>72</v>
      </c>
      <c r="B293" t="s">
        <v>166</v>
      </c>
      <c r="C293" s="3">
        <v>1050</v>
      </c>
      <c r="D293">
        <f>_xlfn.XLOOKUP(A293, produk!$B:$B, produk!$A:$A)</f>
        <v>72</v>
      </c>
      <c r="E293">
        <f>_xlfn.XLOOKUP(B293, jenis_pekerjaan!$B:$B, jenis_pekerjaan!$A:$A)</f>
        <v>47</v>
      </c>
      <c r="F293" s="7">
        <v>0.36</v>
      </c>
      <c r="G293">
        <f t="shared" si="4"/>
        <v>0.36</v>
      </c>
    </row>
    <row r="294" spans="1:7" x14ac:dyDescent="0.35">
      <c r="D294">
        <f>_xlfn.XLOOKUP(A294, produk!$B:$B, produk!$A:$A)</f>
        <v>0</v>
      </c>
      <c r="E294">
        <f>_xlfn.XLOOKUP(B294, jenis_pekerjaan!$B:$B, jenis_pekerjaan!$A:$A)</f>
        <v>0</v>
      </c>
      <c r="F294" s="8"/>
      <c r="G294">
        <f t="shared" si="4"/>
        <v>0</v>
      </c>
    </row>
    <row r="295" spans="1:7" x14ac:dyDescent="0.35">
      <c r="A295" t="s">
        <v>73</v>
      </c>
      <c r="B295" t="s">
        <v>120</v>
      </c>
      <c r="C295" s="3">
        <v>3400</v>
      </c>
      <c r="D295">
        <f>_xlfn.XLOOKUP(A295, produk!$B:$B, produk!$A:$A)</f>
        <v>73</v>
      </c>
      <c r="E295">
        <f>_xlfn.XLOOKUP(B295, jenis_pekerjaan!$B:$B, jenis_pekerjaan!$A:$A)</f>
        <v>1</v>
      </c>
      <c r="F295" s="7" t="s">
        <v>223</v>
      </c>
      <c r="G295" t="e">
        <f t="shared" si="4"/>
        <v>#VALUE!</v>
      </c>
    </row>
    <row r="296" spans="1:7" x14ac:dyDescent="0.35">
      <c r="A296" t="s">
        <v>73</v>
      </c>
      <c r="B296" t="s">
        <v>121</v>
      </c>
      <c r="C296" s="3">
        <v>3150</v>
      </c>
      <c r="D296">
        <f>_xlfn.XLOOKUP(A296, produk!$B:$B, produk!$A:$A)</f>
        <v>73</v>
      </c>
      <c r="E296">
        <f>_xlfn.XLOOKUP(B296, jenis_pekerjaan!$B:$B, jenis_pekerjaan!$A:$A)</f>
        <v>2</v>
      </c>
      <c r="F296" s="7">
        <v>0.12</v>
      </c>
      <c r="G296">
        <f t="shared" si="4"/>
        <v>0.12</v>
      </c>
    </row>
    <row r="297" spans="1:7" x14ac:dyDescent="0.35">
      <c r="D297">
        <f>_xlfn.XLOOKUP(A297, produk!$B:$B, produk!$A:$A)</f>
        <v>0</v>
      </c>
      <c r="E297">
        <f>_xlfn.XLOOKUP(B297, jenis_pekerjaan!$B:$B, jenis_pekerjaan!$A:$A)</f>
        <v>0</v>
      </c>
      <c r="F297" s="8"/>
      <c r="G297">
        <f t="shared" si="4"/>
        <v>0</v>
      </c>
    </row>
    <row r="298" spans="1:7" x14ac:dyDescent="0.35">
      <c r="A298" t="s">
        <v>74</v>
      </c>
      <c r="B298" t="s">
        <v>120</v>
      </c>
      <c r="C298" s="3">
        <v>3400</v>
      </c>
      <c r="D298">
        <f>_xlfn.XLOOKUP(A298, produk!$B:$B, produk!$A:$A)</f>
        <v>74</v>
      </c>
      <c r="E298">
        <f>_xlfn.XLOOKUP(B298, jenis_pekerjaan!$B:$B, jenis_pekerjaan!$A:$A)</f>
        <v>1</v>
      </c>
      <c r="F298" s="7" t="s">
        <v>223</v>
      </c>
      <c r="G298" t="e">
        <f t="shared" si="4"/>
        <v>#VALUE!</v>
      </c>
    </row>
    <row r="299" spans="1:7" x14ac:dyDescent="0.35">
      <c r="A299" t="s">
        <v>74</v>
      </c>
      <c r="B299" t="s">
        <v>121</v>
      </c>
      <c r="C299" s="3">
        <v>3150</v>
      </c>
      <c r="D299">
        <f>_xlfn.XLOOKUP(A299, produk!$B:$B, produk!$A:$A)</f>
        <v>74</v>
      </c>
      <c r="E299">
        <f>_xlfn.XLOOKUP(B299, jenis_pekerjaan!$B:$B, jenis_pekerjaan!$A:$A)</f>
        <v>2</v>
      </c>
      <c r="F299" s="7">
        <v>0.12</v>
      </c>
      <c r="G299">
        <f t="shared" si="4"/>
        <v>0.12</v>
      </c>
    </row>
    <row r="300" spans="1:7" x14ac:dyDescent="0.35">
      <c r="D300">
        <f>_xlfn.XLOOKUP(A300, produk!$B:$B, produk!$A:$A)</f>
        <v>0</v>
      </c>
      <c r="E300">
        <f>_xlfn.XLOOKUP(B300, jenis_pekerjaan!$B:$B, jenis_pekerjaan!$A:$A)</f>
        <v>0</v>
      </c>
      <c r="F300" s="7"/>
      <c r="G300">
        <f t="shared" si="4"/>
        <v>0</v>
      </c>
    </row>
    <row r="301" spans="1:7" x14ac:dyDescent="0.35">
      <c r="A301" t="s">
        <v>75</v>
      </c>
      <c r="B301" t="s">
        <v>120</v>
      </c>
      <c r="C301" s="3">
        <v>4900</v>
      </c>
      <c r="D301">
        <f>_xlfn.XLOOKUP(A301, produk!$B:$B, produk!$A:$A)</f>
        <v>75</v>
      </c>
      <c r="E301">
        <f>_xlfn.XLOOKUP(B301, jenis_pekerjaan!$B:$B, jenis_pekerjaan!$A:$A)</f>
        <v>1</v>
      </c>
      <c r="F301" s="7">
        <v>7.7142857140000007E-2</v>
      </c>
      <c r="G301">
        <f t="shared" si="4"/>
        <v>7.0000000000000007E-2</v>
      </c>
    </row>
    <row r="302" spans="1:7" x14ac:dyDescent="0.35">
      <c r="A302" t="s">
        <v>75</v>
      </c>
      <c r="B302" t="s">
        <v>121</v>
      </c>
      <c r="C302" s="3">
        <v>6300</v>
      </c>
      <c r="D302">
        <f>_xlfn.XLOOKUP(A302, produk!$B:$B, produk!$A:$A)</f>
        <v>75</v>
      </c>
      <c r="E302">
        <f>_xlfn.XLOOKUP(B302, jenis_pekerjaan!$B:$B, jenis_pekerjaan!$A:$A)</f>
        <v>2</v>
      </c>
      <c r="F302" s="7">
        <v>0.06</v>
      </c>
      <c r="G302">
        <f t="shared" si="4"/>
        <v>0.06</v>
      </c>
    </row>
    <row r="303" spans="1:7" x14ac:dyDescent="0.35">
      <c r="A303" t="s">
        <v>75</v>
      </c>
      <c r="B303" t="s">
        <v>127</v>
      </c>
      <c r="D303">
        <f>_xlfn.XLOOKUP(A303, produk!$B:$B, produk!$A:$A)</f>
        <v>75</v>
      </c>
      <c r="E303">
        <f>_xlfn.XLOOKUP(B303, jenis_pekerjaan!$B:$B, jenis_pekerjaan!$A:$A)</f>
        <v>8</v>
      </c>
      <c r="F303" s="7" t="s">
        <v>210</v>
      </c>
      <c r="G303" t="e">
        <f t="shared" si="4"/>
        <v>#VALUE!</v>
      </c>
    </row>
    <row r="304" spans="1:7" x14ac:dyDescent="0.35">
      <c r="A304" t="s">
        <v>75</v>
      </c>
      <c r="B304" t="s">
        <v>136</v>
      </c>
      <c r="C304" s="3">
        <v>800</v>
      </c>
      <c r="D304">
        <f>_xlfn.XLOOKUP(A304, produk!$B:$B, produk!$A:$A)</f>
        <v>75</v>
      </c>
      <c r="E304">
        <f>_xlfn.XLOOKUP(B304, jenis_pekerjaan!$B:$B, jenis_pekerjaan!$A:$A)</f>
        <v>17</v>
      </c>
      <c r="F304" s="7">
        <v>0.47249999999999998</v>
      </c>
      <c r="G304">
        <f t="shared" si="4"/>
        <v>0.47</v>
      </c>
    </row>
    <row r="305" spans="1:7" x14ac:dyDescent="0.35">
      <c r="A305" t="s">
        <v>75</v>
      </c>
      <c r="B305" t="s">
        <v>129</v>
      </c>
      <c r="D305">
        <f>_xlfn.XLOOKUP(A305, produk!$B:$B, produk!$A:$A)</f>
        <v>75</v>
      </c>
      <c r="E305">
        <f>_xlfn.XLOOKUP(B305, jenis_pekerjaan!$B:$B, jenis_pekerjaan!$A:$A)</f>
        <v>10</v>
      </c>
      <c r="F305" s="7" t="s">
        <v>210</v>
      </c>
      <c r="G305" t="e">
        <f t="shared" si="4"/>
        <v>#VALUE!</v>
      </c>
    </row>
    <row r="306" spans="1:7" x14ac:dyDescent="0.35">
      <c r="A306" t="s">
        <v>75</v>
      </c>
      <c r="B306" t="s">
        <v>137</v>
      </c>
      <c r="D306">
        <f>_xlfn.XLOOKUP(A306, produk!$B:$B, produk!$A:$A)</f>
        <v>75</v>
      </c>
      <c r="E306">
        <f>_xlfn.XLOOKUP(B306, jenis_pekerjaan!$B:$B, jenis_pekerjaan!$A:$A)</f>
        <v>18</v>
      </c>
      <c r="F306" s="7" t="s">
        <v>210</v>
      </c>
      <c r="G306" t="e">
        <f t="shared" si="4"/>
        <v>#VALUE!</v>
      </c>
    </row>
    <row r="307" spans="1:7" x14ac:dyDescent="0.35">
      <c r="D307">
        <f>_xlfn.XLOOKUP(A307, produk!$B:$B, produk!$A:$A)</f>
        <v>0</v>
      </c>
      <c r="E307">
        <f>_xlfn.XLOOKUP(B307, jenis_pekerjaan!$B:$B, jenis_pekerjaan!$A:$A)</f>
        <v>0</v>
      </c>
      <c r="F307" s="7"/>
      <c r="G307">
        <f t="shared" si="4"/>
        <v>0</v>
      </c>
    </row>
    <row r="308" spans="1:7" x14ac:dyDescent="0.35">
      <c r="A308" t="s">
        <v>76</v>
      </c>
      <c r="B308" t="s">
        <v>120</v>
      </c>
      <c r="C308" s="3">
        <v>3700</v>
      </c>
      <c r="D308">
        <f>_xlfn.XLOOKUP(A308, produk!$B:$B, produk!$A:$A)</f>
        <v>76</v>
      </c>
      <c r="E308">
        <f>_xlfn.XLOOKUP(B308, jenis_pekerjaan!$B:$B, jenis_pekerjaan!$A:$A)</f>
        <v>1</v>
      </c>
      <c r="F308" s="7">
        <v>0.1021621622</v>
      </c>
      <c r="G308">
        <f t="shared" si="4"/>
        <v>0.1</v>
      </c>
    </row>
    <row r="309" spans="1:7" x14ac:dyDescent="0.35">
      <c r="A309" t="s">
        <v>76</v>
      </c>
      <c r="B309" t="s">
        <v>121</v>
      </c>
      <c r="D309">
        <f>_xlfn.XLOOKUP(A309, produk!$B:$B, produk!$A:$A)</f>
        <v>76</v>
      </c>
      <c r="E309">
        <f>_xlfn.XLOOKUP(B309, jenis_pekerjaan!$B:$B, jenis_pekerjaan!$A:$A)</f>
        <v>2</v>
      </c>
      <c r="F309" s="7" t="s">
        <v>210</v>
      </c>
      <c r="G309" t="e">
        <f t="shared" si="4"/>
        <v>#VALUE!</v>
      </c>
    </row>
    <row r="310" spans="1:7" x14ac:dyDescent="0.35">
      <c r="A310" t="s">
        <v>76</v>
      </c>
      <c r="B310" t="s">
        <v>124</v>
      </c>
      <c r="D310">
        <f>_xlfn.XLOOKUP(A310, produk!$B:$B, produk!$A:$A)</f>
        <v>76</v>
      </c>
      <c r="E310">
        <f>_xlfn.XLOOKUP(B310, jenis_pekerjaan!$B:$B, jenis_pekerjaan!$A:$A)</f>
        <v>5</v>
      </c>
      <c r="F310" s="7" t="s">
        <v>210</v>
      </c>
      <c r="G310" t="e">
        <f t="shared" si="4"/>
        <v>#VALUE!</v>
      </c>
    </row>
    <row r="311" spans="1:7" x14ac:dyDescent="0.35">
      <c r="A311" t="s">
        <v>76</v>
      </c>
      <c r="B311" t="s">
        <v>142</v>
      </c>
      <c r="D311">
        <f>_xlfn.XLOOKUP(A311, produk!$B:$B, produk!$A:$A)</f>
        <v>76</v>
      </c>
      <c r="E311">
        <f>_xlfn.XLOOKUP(B311, jenis_pekerjaan!$B:$B, jenis_pekerjaan!$A:$A)</f>
        <v>23</v>
      </c>
      <c r="F311" s="7" t="s">
        <v>210</v>
      </c>
      <c r="G311" t="e">
        <f t="shared" si="4"/>
        <v>#VALUE!</v>
      </c>
    </row>
    <row r="312" spans="1:7" x14ac:dyDescent="0.35">
      <c r="A312" t="s">
        <v>76</v>
      </c>
      <c r="D312">
        <f>_xlfn.XLOOKUP(A312, produk!$B:$B, produk!$A:$A)</f>
        <v>76</v>
      </c>
      <c r="E312">
        <f>_xlfn.XLOOKUP(B312, jenis_pekerjaan!$B:$B, jenis_pekerjaan!$A:$A)</f>
        <v>0</v>
      </c>
      <c r="F312" s="7" t="s">
        <v>210</v>
      </c>
      <c r="G312" t="e">
        <f t="shared" si="4"/>
        <v>#VALUE!</v>
      </c>
    </row>
    <row r="313" spans="1:7" x14ac:dyDescent="0.35">
      <c r="D313">
        <f>_xlfn.XLOOKUP(A313, produk!$B:$B, produk!$A:$A)</f>
        <v>0</v>
      </c>
      <c r="E313">
        <f>_xlfn.XLOOKUP(B313, jenis_pekerjaan!$B:$B, jenis_pekerjaan!$A:$A)</f>
        <v>0</v>
      </c>
      <c r="F313" s="7"/>
      <c r="G313">
        <f t="shared" si="4"/>
        <v>0</v>
      </c>
    </row>
    <row r="314" spans="1:7" x14ac:dyDescent="0.35">
      <c r="A314" t="s">
        <v>77</v>
      </c>
      <c r="B314" t="s">
        <v>120</v>
      </c>
      <c r="C314" s="3">
        <v>3700</v>
      </c>
      <c r="D314">
        <f>_xlfn.XLOOKUP(A314, produk!$B:$B, produk!$A:$A)</f>
        <v>77</v>
      </c>
      <c r="E314">
        <f>_xlfn.XLOOKUP(B314, jenis_pekerjaan!$B:$B, jenis_pekerjaan!$A:$A)</f>
        <v>1</v>
      </c>
      <c r="F314" s="7">
        <v>0.1021621622</v>
      </c>
      <c r="G314">
        <f t="shared" si="4"/>
        <v>0.1</v>
      </c>
    </row>
    <row r="315" spans="1:7" x14ac:dyDescent="0.35">
      <c r="A315" t="s">
        <v>77</v>
      </c>
      <c r="B315" t="s">
        <v>121</v>
      </c>
      <c r="D315">
        <f>_xlfn.XLOOKUP(A315, produk!$B:$B, produk!$A:$A)</f>
        <v>77</v>
      </c>
      <c r="E315">
        <f>_xlfn.XLOOKUP(B315, jenis_pekerjaan!$B:$B, jenis_pekerjaan!$A:$A)</f>
        <v>2</v>
      </c>
      <c r="F315" s="7" t="s">
        <v>210</v>
      </c>
      <c r="G315" t="e">
        <f t="shared" si="4"/>
        <v>#VALUE!</v>
      </c>
    </row>
    <row r="316" spans="1:7" x14ac:dyDescent="0.35">
      <c r="A316" t="s">
        <v>77</v>
      </c>
      <c r="B316" t="s">
        <v>124</v>
      </c>
      <c r="D316">
        <f>_xlfn.XLOOKUP(A316, produk!$B:$B, produk!$A:$A)</f>
        <v>77</v>
      </c>
      <c r="E316">
        <f>_xlfn.XLOOKUP(B316, jenis_pekerjaan!$B:$B, jenis_pekerjaan!$A:$A)</f>
        <v>5</v>
      </c>
      <c r="F316" s="7" t="s">
        <v>210</v>
      </c>
      <c r="G316" t="e">
        <f t="shared" si="4"/>
        <v>#VALUE!</v>
      </c>
    </row>
    <row r="317" spans="1:7" x14ac:dyDescent="0.35">
      <c r="A317" t="s">
        <v>77</v>
      </c>
      <c r="B317" t="s">
        <v>142</v>
      </c>
      <c r="D317">
        <f>_xlfn.XLOOKUP(A317, produk!$B:$B, produk!$A:$A)</f>
        <v>77</v>
      </c>
      <c r="E317">
        <f>_xlfn.XLOOKUP(B317, jenis_pekerjaan!$B:$B, jenis_pekerjaan!$A:$A)</f>
        <v>23</v>
      </c>
      <c r="F317" s="7" t="s">
        <v>210</v>
      </c>
      <c r="G317" t="e">
        <f t="shared" si="4"/>
        <v>#VALUE!</v>
      </c>
    </row>
    <row r="318" spans="1:7" x14ac:dyDescent="0.35">
      <c r="D318">
        <f>_xlfn.XLOOKUP(A318, produk!$B:$B, produk!$A:$A)</f>
        <v>0</v>
      </c>
      <c r="E318">
        <f>_xlfn.XLOOKUP(B318, jenis_pekerjaan!$B:$B, jenis_pekerjaan!$A:$A)</f>
        <v>0</v>
      </c>
      <c r="F318" s="7"/>
      <c r="G318">
        <f t="shared" si="4"/>
        <v>0</v>
      </c>
    </row>
    <row r="319" spans="1:7" x14ac:dyDescent="0.35">
      <c r="A319" t="s">
        <v>78</v>
      </c>
      <c r="B319" t="s">
        <v>120</v>
      </c>
      <c r="C319" s="3">
        <v>5400</v>
      </c>
      <c r="D319">
        <f>_xlfn.XLOOKUP(A319, produk!$B:$B, produk!$A:$A)</f>
        <v>78</v>
      </c>
      <c r="E319">
        <f>_xlfn.XLOOKUP(B319, jenis_pekerjaan!$B:$B, jenis_pekerjaan!$A:$A)</f>
        <v>1</v>
      </c>
      <c r="F319" s="7">
        <v>7.0000000000000007E-2</v>
      </c>
      <c r="G319">
        <f t="shared" si="4"/>
        <v>7.0000000000000007E-2</v>
      </c>
    </row>
    <row r="320" spans="1:7" x14ac:dyDescent="0.35">
      <c r="A320" t="s">
        <v>78</v>
      </c>
      <c r="B320" t="s">
        <v>121</v>
      </c>
      <c r="D320">
        <f>_xlfn.XLOOKUP(A320, produk!$B:$B, produk!$A:$A)</f>
        <v>78</v>
      </c>
      <c r="E320">
        <f>_xlfn.XLOOKUP(B320, jenis_pekerjaan!$B:$B, jenis_pekerjaan!$A:$A)</f>
        <v>2</v>
      </c>
      <c r="F320" s="7" t="s">
        <v>210</v>
      </c>
      <c r="G320" t="e">
        <f t="shared" si="4"/>
        <v>#VALUE!</v>
      </c>
    </row>
    <row r="321" spans="1:7" x14ac:dyDescent="0.35">
      <c r="A321" t="s">
        <v>78</v>
      </c>
      <c r="B321" t="s">
        <v>135</v>
      </c>
      <c r="C321" s="3">
        <v>350</v>
      </c>
      <c r="D321">
        <f>_xlfn.XLOOKUP(A321, produk!$B:$B, produk!$A:$A)</f>
        <v>78</v>
      </c>
      <c r="E321">
        <f>_xlfn.XLOOKUP(B321, jenis_pekerjaan!$B:$B, jenis_pekerjaan!$A:$A)</f>
        <v>16</v>
      </c>
      <c r="F321" s="7">
        <v>1.08</v>
      </c>
      <c r="G321">
        <f t="shared" si="4"/>
        <v>1.08</v>
      </c>
    </row>
    <row r="322" spans="1:7" x14ac:dyDescent="0.35">
      <c r="D322">
        <f>_xlfn.XLOOKUP(A322, produk!$B:$B, produk!$A:$A)</f>
        <v>0</v>
      </c>
      <c r="E322">
        <f>_xlfn.XLOOKUP(B322, jenis_pekerjaan!$B:$B, jenis_pekerjaan!$A:$A)</f>
        <v>0</v>
      </c>
      <c r="F322" s="7"/>
      <c r="G322">
        <f t="shared" si="4"/>
        <v>0</v>
      </c>
    </row>
    <row r="323" spans="1:7" x14ac:dyDescent="0.35">
      <c r="A323" t="s">
        <v>79</v>
      </c>
      <c r="B323" t="s">
        <v>120</v>
      </c>
      <c r="C323" s="3">
        <v>5400</v>
      </c>
      <c r="D323">
        <f>_xlfn.XLOOKUP(A323, produk!$B:$B, produk!$A:$A)</f>
        <v>79</v>
      </c>
      <c r="E323">
        <f>_xlfn.XLOOKUP(B323, jenis_pekerjaan!$B:$B, jenis_pekerjaan!$A:$A)</f>
        <v>1</v>
      </c>
      <c r="F323" s="7">
        <v>7.0000000000000007E-2</v>
      </c>
      <c r="G323">
        <f t="shared" ref="G323:G386" si="5">ROUNDDOWN(F323,2)</f>
        <v>7.0000000000000007E-2</v>
      </c>
    </row>
    <row r="324" spans="1:7" x14ac:dyDescent="0.35">
      <c r="A324" t="s">
        <v>79</v>
      </c>
      <c r="B324" t="s">
        <v>135</v>
      </c>
      <c r="C324" s="3">
        <v>350</v>
      </c>
      <c r="D324">
        <f>_xlfn.XLOOKUP(A324, produk!$B:$B, produk!$A:$A)</f>
        <v>79</v>
      </c>
      <c r="E324">
        <f>_xlfn.XLOOKUP(B324, jenis_pekerjaan!$B:$B, jenis_pekerjaan!$A:$A)</f>
        <v>16</v>
      </c>
      <c r="F324" s="7">
        <v>1.08</v>
      </c>
      <c r="G324">
        <f t="shared" si="5"/>
        <v>1.08</v>
      </c>
    </row>
    <row r="325" spans="1:7" x14ac:dyDescent="0.35">
      <c r="A325" t="s">
        <v>79</v>
      </c>
      <c r="B325" t="s">
        <v>170</v>
      </c>
      <c r="D325">
        <f>_xlfn.XLOOKUP(A325, produk!$B:$B, produk!$A:$A)</f>
        <v>79</v>
      </c>
      <c r="E325">
        <f>_xlfn.XLOOKUP(B325, jenis_pekerjaan!$B:$B, jenis_pekerjaan!$A:$A)</f>
        <v>52</v>
      </c>
      <c r="F325" s="7" t="s">
        <v>210</v>
      </c>
      <c r="G325" t="e">
        <f t="shared" si="5"/>
        <v>#VALUE!</v>
      </c>
    </row>
    <row r="326" spans="1:7" x14ac:dyDescent="0.35">
      <c r="D326">
        <f>_xlfn.XLOOKUP(A326, produk!$B:$B, produk!$A:$A)</f>
        <v>0</v>
      </c>
      <c r="E326">
        <f>_xlfn.XLOOKUP(B326, jenis_pekerjaan!$B:$B, jenis_pekerjaan!$A:$A)</f>
        <v>0</v>
      </c>
      <c r="F326" s="7"/>
      <c r="G326">
        <f t="shared" si="5"/>
        <v>0</v>
      </c>
    </row>
    <row r="327" spans="1:7" x14ac:dyDescent="0.35">
      <c r="A327" t="s">
        <v>80</v>
      </c>
      <c r="B327" t="s">
        <v>120</v>
      </c>
      <c r="C327" s="3">
        <v>3500</v>
      </c>
      <c r="D327">
        <f>_xlfn.XLOOKUP(A327, produk!$B:$B, produk!$A:$A)</f>
        <v>80</v>
      </c>
      <c r="E327">
        <f>_xlfn.XLOOKUP(B327, jenis_pekerjaan!$B:$B, jenis_pekerjaan!$A:$A)</f>
        <v>1</v>
      </c>
      <c r="F327" s="7">
        <v>0.108</v>
      </c>
      <c r="G327">
        <f t="shared" si="5"/>
        <v>0.1</v>
      </c>
    </row>
    <row r="328" spans="1:7" x14ac:dyDescent="0.35">
      <c r="A328" t="s">
        <v>80</v>
      </c>
      <c r="B328" t="s">
        <v>144</v>
      </c>
      <c r="D328">
        <f>_xlfn.XLOOKUP(A328, produk!$B:$B, produk!$A:$A)</f>
        <v>80</v>
      </c>
      <c r="E328">
        <f>_xlfn.XLOOKUP(B328, jenis_pekerjaan!$B:$B, jenis_pekerjaan!$A:$A)</f>
        <v>25</v>
      </c>
      <c r="F328" s="7" t="s">
        <v>210</v>
      </c>
      <c r="G328" t="e">
        <f t="shared" si="5"/>
        <v>#VALUE!</v>
      </c>
    </row>
    <row r="329" spans="1:7" x14ac:dyDescent="0.35">
      <c r="A329" t="s">
        <v>80</v>
      </c>
      <c r="B329" t="s">
        <v>149</v>
      </c>
      <c r="D329">
        <f>_xlfn.XLOOKUP(A329, produk!$B:$B, produk!$A:$A)</f>
        <v>80</v>
      </c>
      <c r="E329">
        <f>_xlfn.XLOOKUP(B329, jenis_pekerjaan!$B:$B, jenis_pekerjaan!$A:$A)</f>
        <v>30</v>
      </c>
      <c r="F329" s="7" t="s">
        <v>210</v>
      </c>
      <c r="G329" t="e">
        <f t="shared" si="5"/>
        <v>#VALUE!</v>
      </c>
    </row>
    <row r="330" spans="1:7" x14ac:dyDescent="0.35">
      <c r="A330" t="s">
        <v>80</v>
      </c>
      <c r="B330" t="s">
        <v>195</v>
      </c>
      <c r="C330" s="3">
        <v>1380</v>
      </c>
      <c r="D330">
        <f>_xlfn.XLOOKUP(A330, produk!$B:$B, produk!$A:$A)</f>
        <v>80</v>
      </c>
      <c r="E330">
        <f>_xlfn.XLOOKUP(B330, jenis_pekerjaan!$B:$B, jenis_pekerjaan!$A:$A)</f>
        <v>78</v>
      </c>
      <c r="F330" s="7">
        <v>0.27391304350000001</v>
      </c>
      <c r="G330">
        <f t="shared" si="5"/>
        <v>0.27</v>
      </c>
    </row>
    <row r="331" spans="1:7" x14ac:dyDescent="0.35">
      <c r="A331" t="s">
        <v>80</v>
      </c>
      <c r="B331" t="s">
        <v>145</v>
      </c>
      <c r="C331" s="3">
        <v>1130</v>
      </c>
      <c r="D331">
        <f>_xlfn.XLOOKUP(A331, produk!$B:$B, produk!$A:$A)</f>
        <v>80</v>
      </c>
      <c r="E331">
        <f>_xlfn.XLOOKUP(B331, jenis_pekerjaan!$B:$B, jenis_pekerjaan!$A:$A)</f>
        <v>26</v>
      </c>
      <c r="F331" s="7">
        <v>0.3345132743</v>
      </c>
      <c r="G331">
        <f t="shared" si="5"/>
        <v>0.33</v>
      </c>
    </row>
    <row r="332" spans="1:7" x14ac:dyDescent="0.35">
      <c r="A332" t="s">
        <v>80</v>
      </c>
      <c r="B332" t="s">
        <v>155</v>
      </c>
      <c r="C332" s="3">
        <v>1500</v>
      </c>
      <c r="D332">
        <f>_xlfn.XLOOKUP(A332, produk!$B:$B, produk!$A:$A)</f>
        <v>80</v>
      </c>
      <c r="E332">
        <f>_xlfn.XLOOKUP(B332, jenis_pekerjaan!$B:$B, jenis_pekerjaan!$A:$A)</f>
        <v>36</v>
      </c>
      <c r="F332" s="7">
        <v>0.252</v>
      </c>
      <c r="G332">
        <f t="shared" si="5"/>
        <v>0.25</v>
      </c>
    </row>
    <row r="333" spans="1:7" x14ac:dyDescent="0.35">
      <c r="A333" t="s">
        <v>80</v>
      </c>
      <c r="B333" t="s">
        <v>156</v>
      </c>
      <c r="C333" s="3">
        <v>1350</v>
      </c>
      <c r="D333">
        <f>_xlfn.XLOOKUP(A333, produk!$B:$B, produk!$A:$A)</f>
        <v>80</v>
      </c>
      <c r="E333">
        <f>_xlfn.XLOOKUP(B333, jenis_pekerjaan!$B:$B, jenis_pekerjaan!$A:$A)</f>
        <v>37</v>
      </c>
      <c r="F333" s="7">
        <v>0.28000000000000003</v>
      </c>
      <c r="G333">
        <f t="shared" si="5"/>
        <v>0.28000000000000003</v>
      </c>
    </row>
    <row r="334" spans="1:7" x14ac:dyDescent="0.35">
      <c r="A334" t="s">
        <v>80</v>
      </c>
      <c r="B334" t="s">
        <v>121</v>
      </c>
      <c r="C334" s="3">
        <v>1050</v>
      </c>
      <c r="D334">
        <f>_xlfn.XLOOKUP(A334, produk!$B:$B, produk!$A:$A)</f>
        <v>80</v>
      </c>
      <c r="E334">
        <f>_xlfn.XLOOKUP(B334, jenis_pekerjaan!$B:$B, jenis_pekerjaan!$A:$A)</f>
        <v>2</v>
      </c>
      <c r="F334" s="7">
        <v>0.36</v>
      </c>
      <c r="G334">
        <f t="shared" si="5"/>
        <v>0.36</v>
      </c>
    </row>
    <row r="335" spans="1:7" x14ac:dyDescent="0.35">
      <c r="D335">
        <f>_xlfn.XLOOKUP(A335, produk!$B:$B, produk!$A:$A)</f>
        <v>0</v>
      </c>
      <c r="E335">
        <f>_xlfn.XLOOKUP(B335, jenis_pekerjaan!$B:$B, jenis_pekerjaan!$A:$A)</f>
        <v>0</v>
      </c>
      <c r="F335" s="7"/>
      <c r="G335">
        <f t="shared" si="5"/>
        <v>0</v>
      </c>
    </row>
    <row r="336" spans="1:7" x14ac:dyDescent="0.35">
      <c r="A336" t="s">
        <v>81</v>
      </c>
      <c r="B336" t="s">
        <v>120</v>
      </c>
      <c r="C336" s="3">
        <v>5600</v>
      </c>
      <c r="D336">
        <f>_xlfn.XLOOKUP(A336, produk!$B:$B, produk!$A:$A)</f>
        <v>81</v>
      </c>
      <c r="E336">
        <f>_xlfn.XLOOKUP(B336, jenis_pekerjaan!$B:$B, jenis_pekerjaan!$A:$A)</f>
        <v>1</v>
      </c>
      <c r="F336" s="7">
        <v>6.7500000000000004E-2</v>
      </c>
      <c r="G336">
        <f t="shared" si="5"/>
        <v>0.06</v>
      </c>
    </row>
    <row r="337" spans="1:7" x14ac:dyDescent="0.35">
      <c r="A337" t="s">
        <v>81</v>
      </c>
      <c r="B337" t="s">
        <v>121</v>
      </c>
      <c r="C337" s="3">
        <v>6300</v>
      </c>
      <c r="D337">
        <f>_xlfn.XLOOKUP(A337, produk!$B:$B, produk!$A:$A)</f>
        <v>81</v>
      </c>
      <c r="E337">
        <f>_xlfn.XLOOKUP(B337, jenis_pekerjaan!$B:$B, jenis_pekerjaan!$A:$A)</f>
        <v>2</v>
      </c>
      <c r="F337" s="7">
        <v>0.06</v>
      </c>
      <c r="G337">
        <f t="shared" si="5"/>
        <v>0.06</v>
      </c>
    </row>
    <row r="338" spans="1:7" x14ac:dyDescent="0.35">
      <c r="A338" t="s">
        <v>81</v>
      </c>
      <c r="B338" t="s">
        <v>172</v>
      </c>
      <c r="D338">
        <f>_xlfn.XLOOKUP(A338, produk!$B:$B, produk!$A:$A)</f>
        <v>81</v>
      </c>
      <c r="E338">
        <f>_xlfn.XLOOKUP(B338, jenis_pekerjaan!$B:$B, jenis_pekerjaan!$A:$A)</f>
        <v>55</v>
      </c>
      <c r="F338" s="7" t="s">
        <v>210</v>
      </c>
      <c r="G338" t="e">
        <f t="shared" si="5"/>
        <v>#VALUE!</v>
      </c>
    </row>
    <row r="339" spans="1:7" x14ac:dyDescent="0.35">
      <c r="D339">
        <f>_xlfn.XLOOKUP(A339, produk!$B:$B, produk!$A:$A)</f>
        <v>0</v>
      </c>
      <c r="E339">
        <f>_xlfn.XLOOKUP(B339, jenis_pekerjaan!$B:$B, jenis_pekerjaan!$A:$A)</f>
        <v>0</v>
      </c>
      <c r="F339" s="7"/>
      <c r="G339">
        <f t="shared" si="5"/>
        <v>0</v>
      </c>
    </row>
    <row r="340" spans="1:7" x14ac:dyDescent="0.35">
      <c r="A340" t="s">
        <v>82</v>
      </c>
      <c r="B340" t="s">
        <v>120</v>
      </c>
      <c r="C340" s="3">
        <v>4500</v>
      </c>
      <c r="D340">
        <f>_xlfn.XLOOKUP(A340, produk!$B:$B, produk!$A:$A)</f>
        <v>82</v>
      </c>
      <c r="E340">
        <f>_xlfn.XLOOKUP(B340, jenis_pekerjaan!$B:$B, jenis_pekerjaan!$A:$A)</f>
        <v>1</v>
      </c>
      <c r="F340" s="7">
        <v>8.4000000000000005E-2</v>
      </c>
      <c r="G340">
        <f t="shared" si="5"/>
        <v>0.08</v>
      </c>
    </row>
    <row r="341" spans="1:7" x14ac:dyDescent="0.35">
      <c r="A341" t="s">
        <v>82</v>
      </c>
      <c r="B341" t="s">
        <v>121</v>
      </c>
      <c r="D341">
        <f>_xlfn.XLOOKUP(A341, produk!$B:$B, produk!$A:$A)</f>
        <v>82</v>
      </c>
      <c r="E341">
        <f>_xlfn.XLOOKUP(B341, jenis_pekerjaan!$B:$B, jenis_pekerjaan!$A:$A)</f>
        <v>2</v>
      </c>
      <c r="F341" s="7" t="s">
        <v>210</v>
      </c>
      <c r="G341" t="e">
        <f t="shared" si="5"/>
        <v>#VALUE!</v>
      </c>
    </row>
    <row r="342" spans="1:7" x14ac:dyDescent="0.35">
      <c r="A342" t="s">
        <v>82</v>
      </c>
      <c r="B342" t="s">
        <v>124</v>
      </c>
      <c r="D342">
        <f>_xlfn.XLOOKUP(A342, produk!$B:$B, produk!$A:$A)</f>
        <v>82</v>
      </c>
      <c r="E342">
        <f>_xlfn.XLOOKUP(B342, jenis_pekerjaan!$B:$B, jenis_pekerjaan!$A:$A)</f>
        <v>5</v>
      </c>
      <c r="F342" s="7" t="s">
        <v>210</v>
      </c>
      <c r="G342" t="e">
        <f t="shared" si="5"/>
        <v>#VALUE!</v>
      </c>
    </row>
    <row r="343" spans="1:7" x14ac:dyDescent="0.35">
      <c r="A343" t="s">
        <v>82</v>
      </c>
      <c r="B343" t="s">
        <v>166</v>
      </c>
      <c r="D343">
        <f>_xlfn.XLOOKUP(A343, produk!$B:$B, produk!$A:$A)</f>
        <v>82</v>
      </c>
      <c r="E343">
        <f>_xlfn.XLOOKUP(B343, jenis_pekerjaan!$B:$B, jenis_pekerjaan!$A:$A)</f>
        <v>47</v>
      </c>
      <c r="F343" s="7" t="s">
        <v>210</v>
      </c>
      <c r="G343" t="e">
        <f t="shared" si="5"/>
        <v>#VALUE!</v>
      </c>
    </row>
    <row r="344" spans="1:7" x14ac:dyDescent="0.35">
      <c r="D344">
        <f>_xlfn.XLOOKUP(A344, produk!$B:$B, produk!$A:$A)</f>
        <v>0</v>
      </c>
      <c r="E344">
        <f>_xlfn.XLOOKUP(B344, jenis_pekerjaan!$B:$B, jenis_pekerjaan!$A:$A)</f>
        <v>0</v>
      </c>
      <c r="F344" s="7"/>
      <c r="G344">
        <f t="shared" si="5"/>
        <v>0</v>
      </c>
    </row>
    <row r="345" spans="1:7" x14ac:dyDescent="0.35">
      <c r="A345" t="s">
        <v>83</v>
      </c>
      <c r="B345" t="s">
        <v>120</v>
      </c>
      <c r="C345" s="3">
        <v>3780</v>
      </c>
      <c r="D345">
        <f>_xlfn.XLOOKUP(A345, produk!$B:$B, produk!$A:$A)</f>
        <v>83</v>
      </c>
      <c r="E345">
        <f>_xlfn.XLOOKUP(B345, jenis_pekerjaan!$B:$B, jenis_pekerjaan!$A:$A)</f>
        <v>1</v>
      </c>
      <c r="F345" s="7">
        <v>0.1</v>
      </c>
      <c r="G345">
        <f t="shared" si="5"/>
        <v>0.1</v>
      </c>
    </row>
    <row r="346" spans="1:7" x14ac:dyDescent="0.35">
      <c r="A346" t="s">
        <v>83</v>
      </c>
      <c r="B346" t="s">
        <v>135</v>
      </c>
      <c r="C346" s="3">
        <v>490</v>
      </c>
      <c r="D346">
        <f>_xlfn.XLOOKUP(A346, produk!$B:$B, produk!$A:$A)</f>
        <v>83</v>
      </c>
      <c r="E346">
        <f>_xlfn.XLOOKUP(B346, jenis_pekerjaan!$B:$B, jenis_pekerjaan!$A:$A)</f>
        <v>16</v>
      </c>
      <c r="F346" s="7">
        <v>0.77142857139999998</v>
      </c>
      <c r="G346">
        <f t="shared" si="5"/>
        <v>0.77</v>
      </c>
    </row>
    <row r="347" spans="1:7" x14ac:dyDescent="0.35">
      <c r="A347" t="s">
        <v>83</v>
      </c>
      <c r="B347" t="s">
        <v>121</v>
      </c>
      <c r="C347" s="3">
        <v>6300</v>
      </c>
      <c r="D347">
        <f>_xlfn.XLOOKUP(A347, produk!$B:$B, produk!$A:$A)</f>
        <v>83</v>
      </c>
      <c r="E347">
        <f>_xlfn.XLOOKUP(B347, jenis_pekerjaan!$B:$B, jenis_pekerjaan!$A:$A)</f>
        <v>2</v>
      </c>
      <c r="F347" s="7">
        <v>0.06</v>
      </c>
      <c r="G347">
        <f t="shared" si="5"/>
        <v>0.06</v>
      </c>
    </row>
    <row r="348" spans="1:7" x14ac:dyDescent="0.35">
      <c r="A348" t="s">
        <v>83</v>
      </c>
      <c r="B348" t="s">
        <v>124</v>
      </c>
      <c r="D348">
        <f>_xlfn.XLOOKUP(A348, produk!$B:$B, produk!$A:$A)</f>
        <v>83</v>
      </c>
      <c r="E348">
        <f>_xlfn.XLOOKUP(B348, jenis_pekerjaan!$B:$B, jenis_pekerjaan!$A:$A)</f>
        <v>5</v>
      </c>
      <c r="F348" s="7" t="s">
        <v>210</v>
      </c>
      <c r="G348" t="e">
        <f t="shared" si="5"/>
        <v>#VALUE!</v>
      </c>
    </row>
    <row r="349" spans="1:7" x14ac:dyDescent="0.35">
      <c r="A349" t="s">
        <v>83</v>
      </c>
      <c r="B349" t="s">
        <v>166</v>
      </c>
      <c r="C349" s="3">
        <v>700</v>
      </c>
      <c r="D349">
        <f>_xlfn.XLOOKUP(A349, produk!$B:$B, produk!$A:$A)</f>
        <v>83</v>
      </c>
      <c r="E349">
        <f>_xlfn.XLOOKUP(B349, jenis_pekerjaan!$B:$B, jenis_pekerjaan!$A:$A)</f>
        <v>47</v>
      </c>
      <c r="F349" s="7">
        <v>0.54</v>
      </c>
      <c r="G349">
        <f t="shared" si="5"/>
        <v>0.54</v>
      </c>
    </row>
    <row r="350" spans="1:7" x14ac:dyDescent="0.35">
      <c r="D350">
        <f>_xlfn.XLOOKUP(A350, produk!$B:$B, produk!$A:$A)</f>
        <v>0</v>
      </c>
      <c r="E350">
        <f>_xlfn.XLOOKUP(B350, jenis_pekerjaan!$B:$B, jenis_pekerjaan!$A:$A)</f>
        <v>0</v>
      </c>
      <c r="F350" s="7"/>
      <c r="G350">
        <f t="shared" si="5"/>
        <v>0</v>
      </c>
    </row>
    <row r="351" spans="1:7" x14ac:dyDescent="0.35">
      <c r="A351" t="s">
        <v>84</v>
      </c>
      <c r="B351" t="s">
        <v>120</v>
      </c>
      <c r="C351" s="3">
        <v>2500</v>
      </c>
      <c r="D351">
        <f>_xlfn.XLOOKUP(A351, produk!$B:$B, produk!$A:$A)</f>
        <v>84</v>
      </c>
      <c r="E351">
        <f>_xlfn.XLOOKUP(B351, jenis_pekerjaan!$B:$B, jenis_pekerjaan!$A:$A)</f>
        <v>1</v>
      </c>
      <c r="F351" s="7">
        <v>0.1512</v>
      </c>
      <c r="G351">
        <f t="shared" si="5"/>
        <v>0.15</v>
      </c>
    </row>
    <row r="352" spans="1:7" x14ac:dyDescent="0.35">
      <c r="A352" t="s">
        <v>84</v>
      </c>
      <c r="B352" t="s">
        <v>143</v>
      </c>
      <c r="D352">
        <f>_xlfn.XLOOKUP(A352, produk!$B:$B, produk!$A:$A)</f>
        <v>84</v>
      </c>
      <c r="E352">
        <f>_xlfn.XLOOKUP(B352, jenis_pekerjaan!$B:$B, jenis_pekerjaan!$A:$A)</f>
        <v>24</v>
      </c>
      <c r="F352" s="7" t="s">
        <v>210</v>
      </c>
      <c r="G352" t="e">
        <f t="shared" si="5"/>
        <v>#VALUE!</v>
      </c>
    </row>
    <row r="353" spans="1:7" x14ac:dyDescent="0.35">
      <c r="A353" t="s">
        <v>84</v>
      </c>
      <c r="B353" t="s">
        <v>121</v>
      </c>
      <c r="C353" s="3">
        <v>2500</v>
      </c>
      <c r="D353">
        <f>_xlfn.XLOOKUP(A353, produk!$B:$B, produk!$A:$A)</f>
        <v>84</v>
      </c>
      <c r="E353">
        <f>_xlfn.XLOOKUP(B353, jenis_pekerjaan!$B:$B, jenis_pekerjaan!$A:$A)</f>
        <v>2</v>
      </c>
      <c r="F353" s="7">
        <v>0.1512</v>
      </c>
      <c r="G353">
        <f t="shared" si="5"/>
        <v>0.15</v>
      </c>
    </row>
    <row r="354" spans="1:7" x14ac:dyDescent="0.35">
      <c r="A354" t="s">
        <v>84</v>
      </c>
      <c r="B354" t="s">
        <v>167</v>
      </c>
      <c r="C354" s="3">
        <v>350</v>
      </c>
      <c r="D354">
        <f>_xlfn.XLOOKUP(A354, produk!$B:$B, produk!$A:$A)</f>
        <v>84</v>
      </c>
      <c r="E354">
        <f>_xlfn.XLOOKUP(B354, jenis_pekerjaan!$B:$B, jenis_pekerjaan!$A:$A)</f>
        <v>48</v>
      </c>
      <c r="F354" s="7">
        <v>1.08</v>
      </c>
      <c r="G354">
        <f t="shared" si="5"/>
        <v>1.08</v>
      </c>
    </row>
    <row r="355" spans="1:7" x14ac:dyDescent="0.35">
      <c r="A355" t="s">
        <v>84</v>
      </c>
      <c r="B355" t="s">
        <v>164</v>
      </c>
      <c r="C355" s="3">
        <v>400</v>
      </c>
      <c r="D355">
        <f>_xlfn.XLOOKUP(A355, produk!$B:$B, produk!$A:$A)</f>
        <v>84</v>
      </c>
      <c r="E355">
        <f>_xlfn.XLOOKUP(B355, jenis_pekerjaan!$B:$B, jenis_pekerjaan!$A:$A)</f>
        <v>45</v>
      </c>
      <c r="F355" s="7">
        <v>0.94499999999999995</v>
      </c>
      <c r="G355">
        <f t="shared" si="5"/>
        <v>0.94</v>
      </c>
    </row>
    <row r="356" spans="1:7" x14ac:dyDescent="0.35">
      <c r="A356" t="s">
        <v>84</v>
      </c>
      <c r="B356" t="s">
        <v>130</v>
      </c>
      <c r="C356" s="3">
        <v>350</v>
      </c>
      <c r="D356">
        <f>_xlfn.XLOOKUP(A356, produk!$B:$B, produk!$A:$A)</f>
        <v>84</v>
      </c>
      <c r="E356">
        <f>_xlfn.XLOOKUP(B356, jenis_pekerjaan!$B:$B, jenis_pekerjaan!$A:$A)</f>
        <v>11</v>
      </c>
      <c r="F356" s="7">
        <v>1.08</v>
      </c>
      <c r="G356">
        <f t="shared" si="5"/>
        <v>1.08</v>
      </c>
    </row>
    <row r="357" spans="1:7" x14ac:dyDescent="0.35">
      <c r="D357">
        <f>_xlfn.XLOOKUP(A357, produk!$B:$B, produk!$A:$A)</f>
        <v>0</v>
      </c>
      <c r="E357">
        <f>_xlfn.XLOOKUP(B357, jenis_pekerjaan!$B:$B, jenis_pekerjaan!$A:$A)</f>
        <v>0</v>
      </c>
      <c r="F357" s="7"/>
      <c r="G357">
        <f t="shared" si="5"/>
        <v>0</v>
      </c>
    </row>
    <row r="358" spans="1:7" x14ac:dyDescent="0.35">
      <c r="A358" t="s">
        <v>85</v>
      </c>
      <c r="B358" t="s">
        <v>120</v>
      </c>
      <c r="C358" s="3">
        <v>2500</v>
      </c>
      <c r="D358">
        <f>_xlfn.XLOOKUP(A358, produk!$B:$B, produk!$A:$A)</f>
        <v>85</v>
      </c>
      <c r="E358">
        <f>_xlfn.XLOOKUP(B358, jenis_pekerjaan!$B:$B, jenis_pekerjaan!$A:$A)</f>
        <v>1</v>
      </c>
      <c r="F358" s="7">
        <v>0.1512</v>
      </c>
      <c r="G358">
        <f t="shared" si="5"/>
        <v>0.15</v>
      </c>
    </row>
    <row r="359" spans="1:7" x14ac:dyDescent="0.35">
      <c r="A359" t="s">
        <v>85</v>
      </c>
      <c r="B359" t="s">
        <v>143</v>
      </c>
      <c r="D359">
        <f>_xlfn.XLOOKUP(A359, produk!$B:$B, produk!$A:$A)</f>
        <v>85</v>
      </c>
      <c r="E359">
        <f>_xlfn.XLOOKUP(B359, jenis_pekerjaan!$B:$B, jenis_pekerjaan!$A:$A)</f>
        <v>24</v>
      </c>
      <c r="F359" s="7" t="s">
        <v>210</v>
      </c>
      <c r="G359" t="e">
        <f t="shared" si="5"/>
        <v>#VALUE!</v>
      </c>
    </row>
    <row r="360" spans="1:7" x14ac:dyDescent="0.35">
      <c r="A360" t="s">
        <v>85</v>
      </c>
      <c r="B360" t="s">
        <v>121</v>
      </c>
      <c r="C360" s="3">
        <v>2500</v>
      </c>
      <c r="D360">
        <f>_xlfn.XLOOKUP(A360, produk!$B:$B, produk!$A:$A)</f>
        <v>85</v>
      </c>
      <c r="E360">
        <f>_xlfn.XLOOKUP(B360, jenis_pekerjaan!$B:$B, jenis_pekerjaan!$A:$A)</f>
        <v>2</v>
      </c>
      <c r="F360" s="7">
        <v>0.1512</v>
      </c>
      <c r="G360">
        <f t="shared" si="5"/>
        <v>0.15</v>
      </c>
    </row>
    <row r="361" spans="1:7" x14ac:dyDescent="0.35">
      <c r="A361" t="s">
        <v>85</v>
      </c>
      <c r="B361" t="s">
        <v>134</v>
      </c>
      <c r="D361">
        <f>_xlfn.XLOOKUP(A361, produk!$B:$B, produk!$A:$A)</f>
        <v>85</v>
      </c>
      <c r="E361">
        <f>_xlfn.XLOOKUP(B361, jenis_pekerjaan!$B:$B, jenis_pekerjaan!$A:$A)</f>
        <v>15</v>
      </c>
      <c r="F361" s="7" t="s">
        <v>210</v>
      </c>
      <c r="G361" t="e">
        <f t="shared" si="5"/>
        <v>#VALUE!</v>
      </c>
    </row>
    <row r="362" spans="1:7" x14ac:dyDescent="0.35">
      <c r="A362" t="s">
        <v>85</v>
      </c>
      <c r="B362" t="s">
        <v>164</v>
      </c>
      <c r="C362" s="3">
        <v>400</v>
      </c>
      <c r="D362">
        <f>_xlfn.XLOOKUP(A362, produk!$B:$B, produk!$A:$A)</f>
        <v>85</v>
      </c>
      <c r="E362">
        <f>_xlfn.XLOOKUP(B362, jenis_pekerjaan!$B:$B, jenis_pekerjaan!$A:$A)</f>
        <v>45</v>
      </c>
      <c r="F362" s="7">
        <v>0.94499999999999995</v>
      </c>
      <c r="G362">
        <f t="shared" si="5"/>
        <v>0.94</v>
      </c>
    </row>
    <row r="363" spans="1:7" x14ac:dyDescent="0.35">
      <c r="D363">
        <f>_xlfn.XLOOKUP(A363, produk!$B:$B, produk!$A:$A)</f>
        <v>0</v>
      </c>
      <c r="E363">
        <f>_xlfn.XLOOKUP(B363, jenis_pekerjaan!$B:$B, jenis_pekerjaan!$A:$A)</f>
        <v>0</v>
      </c>
      <c r="F363" s="8"/>
      <c r="G363">
        <f t="shared" si="5"/>
        <v>0</v>
      </c>
    </row>
    <row r="364" spans="1:7" x14ac:dyDescent="0.35">
      <c r="A364" t="s">
        <v>86</v>
      </c>
      <c r="B364" t="s">
        <v>120</v>
      </c>
      <c r="C364" s="3">
        <v>1400</v>
      </c>
      <c r="D364">
        <f>_xlfn.XLOOKUP(A364, produk!$B:$B, produk!$A:$A)</f>
        <v>86</v>
      </c>
      <c r="E364">
        <f>_xlfn.XLOOKUP(B364, jenis_pekerjaan!$B:$B, jenis_pekerjaan!$A:$A)</f>
        <v>1</v>
      </c>
      <c r="F364" s="7" t="s">
        <v>216</v>
      </c>
      <c r="G364" t="e">
        <f t="shared" si="5"/>
        <v>#VALUE!</v>
      </c>
    </row>
    <row r="365" spans="1:7" x14ac:dyDescent="0.35">
      <c r="A365" t="s">
        <v>86</v>
      </c>
      <c r="B365" t="s">
        <v>163</v>
      </c>
      <c r="C365" s="3">
        <v>450</v>
      </c>
      <c r="D365">
        <f>_xlfn.XLOOKUP(A365, produk!$B:$B, produk!$A:$A)</f>
        <v>86</v>
      </c>
      <c r="E365">
        <f>_xlfn.XLOOKUP(B365, jenis_pekerjaan!$B:$B, jenis_pekerjaan!$A:$A)</f>
        <v>44</v>
      </c>
      <c r="F365" s="7">
        <v>0.84</v>
      </c>
      <c r="G365">
        <f t="shared" si="5"/>
        <v>0.84</v>
      </c>
    </row>
    <row r="366" spans="1:7" x14ac:dyDescent="0.35">
      <c r="A366" t="s">
        <v>86</v>
      </c>
      <c r="B366" t="s">
        <v>124</v>
      </c>
      <c r="C366" s="3">
        <v>380</v>
      </c>
      <c r="D366">
        <f>_xlfn.XLOOKUP(A366, produk!$B:$B, produk!$A:$A)</f>
        <v>86</v>
      </c>
      <c r="E366">
        <f>_xlfn.XLOOKUP(B366, jenis_pekerjaan!$B:$B, jenis_pekerjaan!$A:$A)</f>
        <v>5</v>
      </c>
      <c r="F366" s="7">
        <v>0.99473684210000002</v>
      </c>
      <c r="G366">
        <f t="shared" si="5"/>
        <v>0.99</v>
      </c>
    </row>
    <row r="367" spans="1:7" x14ac:dyDescent="0.35">
      <c r="A367" t="s">
        <v>86</v>
      </c>
      <c r="B367" t="s">
        <v>166</v>
      </c>
      <c r="C367" s="3">
        <v>560</v>
      </c>
      <c r="D367">
        <f>_xlfn.XLOOKUP(A367, produk!$B:$B, produk!$A:$A)</f>
        <v>86</v>
      </c>
      <c r="E367">
        <f>_xlfn.XLOOKUP(B367, jenis_pekerjaan!$B:$B, jenis_pekerjaan!$A:$A)</f>
        <v>47</v>
      </c>
      <c r="F367" s="7">
        <v>0.67500000000000004</v>
      </c>
      <c r="G367">
        <f t="shared" si="5"/>
        <v>0.67</v>
      </c>
    </row>
    <row r="368" spans="1:7" x14ac:dyDescent="0.35">
      <c r="A368" t="s">
        <v>86</v>
      </c>
      <c r="B368" t="s">
        <v>121</v>
      </c>
      <c r="C368" s="3">
        <v>2100</v>
      </c>
      <c r="D368">
        <f>_xlfn.XLOOKUP(A368, produk!$B:$B, produk!$A:$A)</f>
        <v>86</v>
      </c>
      <c r="E368">
        <f>_xlfn.XLOOKUP(B368, jenis_pekerjaan!$B:$B, jenis_pekerjaan!$A:$A)</f>
        <v>2</v>
      </c>
      <c r="F368" s="7">
        <v>0.18</v>
      </c>
      <c r="G368">
        <f t="shared" si="5"/>
        <v>0.18</v>
      </c>
    </row>
    <row r="369" spans="1:7" x14ac:dyDescent="0.35">
      <c r="D369">
        <f>_xlfn.XLOOKUP(A369, produk!$B:$B, produk!$A:$A)</f>
        <v>0</v>
      </c>
      <c r="E369">
        <f>_xlfn.XLOOKUP(B369, jenis_pekerjaan!$B:$B, jenis_pekerjaan!$A:$A)</f>
        <v>0</v>
      </c>
      <c r="F369" s="8"/>
      <c r="G369">
        <f t="shared" si="5"/>
        <v>0</v>
      </c>
    </row>
    <row r="370" spans="1:7" x14ac:dyDescent="0.35">
      <c r="A370" t="s">
        <v>87</v>
      </c>
      <c r="B370" t="s">
        <v>120</v>
      </c>
      <c r="C370" s="3">
        <v>3000</v>
      </c>
      <c r="D370">
        <f>_xlfn.XLOOKUP(A370, produk!$B:$B, produk!$A:$A)</f>
        <v>87</v>
      </c>
      <c r="E370">
        <f>_xlfn.XLOOKUP(B370, jenis_pekerjaan!$B:$B, jenis_pekerjaan!$A:$A)</f>
        <v>1</v>
      </c>
      <c r="F370" s="7">
        <v>0.126</v>
      </c>
      <c r="G370">
        <f t="shared" si="5"/>
        <v>0.12</v>
      </c>
    </row>
    <row r="371" spans="1:7" x14ac:dyDescent="0.35">
      <c r="A371" t="s">
        <v>87</v>
      </c>
      <c r="B371" t="s">
        <v>121</v>
      </c>
      <c r="C371" s="3">
        <v>2500</v>
      </c>
      <c r="D371">
        <f>_xlfn.XLOOKUP(A371, produk!$B:$B, produk!$A:$A)</f>
        <v>87</v>
      </c>
      <c r="E371">
        <f>_xlfn.XLOOKUP(B371, jenis_pekerjaan!$B:$B, jenis_pekerjaan!$A:$A)</f>
        <v>2</v>
      </c>
      <c r="F371" s="7">
        <v>0.1512</v>
      </c>
      <c r="G371">
        <f t="shared" si="5"/>
        <v>0.15</v>
      </c>
    </row>
    <row r="372" spans="1:7" x14ac:dyDescent="0.35">
      <c r="D372">
        <f>_xlfn.XLOOKUP(A372, produk!$B:$B, produk!$A:$A)</f>
        <v>0</v>
      </c>
      <c r="E372">
        <f>_xlfn.XLOOKUP(B372, jenis_pekerjaan!$B:$B, jenis_pekerjaan!$A:$A)</f>
        <v>0</v>
      </c>
      <c r="F372" s="7"/>
      <c r="G372">
        <f t="shared" si="5"/>
        <v>0</v>
      </c>
    </row>
    <row r="373" spans="1:7" x14ac:dyDescent="0.35">
      <c r="A373" t="s">
        <v>88</v>
      </c>
      <c r="B373" t="s">
        <v>120</v>
      </c>
      <c r="C373" s="3">
        <v>1890</v>
      </c>
      <c r="D373">
        <f>_xlfn.XLOOKUP(A373, produk!$B:$B, produk!$A:$A)</f>
        <v>88</v>
      </c>
      <c r="E373">
        <f>_xlfn.XLOOKUP(B373, jenis_pekerjaan!$B:$B, jenis_pekerjaan!$A:$A)</f>
        <v>1</v>
      </c>
      <c r="F373" s="7">
        <v>0.2</v>
      </c>
      <c r="G373">
        <f t="shared" si="5"/>
        <v>0.2</v>
      </c>
    </row>
    <row r="374" spans="1:7" x14ac:dyDescent="0.35">
      <c r="A374" t="s">
        <v>88</v>
      </c>
      <c r="B374" t="s">
        <v>121</v>
      </c>
      <c r="D374">
        <f>_xlfn.XLOOKUP(A374, produk!$B:$B, produk!$A:$A)</f>
        <v>88</v>
      </c>
      <c r="E374">
        <f>_xlfn.XLOOKUP(B374, jenis_pekerjaan!$B:$B, jenis_pekerjaan!$A:$A)</f>
        <v>2</v>
      </c>
      <c r="F374" s="7" t="s">
        <v>210</v>
      </c>
      <c r="G374" t="e">
        <f t="shared" si="5"/>
        <v>#VALUE!</v>
      </c>
    </row>
    <row r="375" spans="1:7" x14ac:dyDescent="0.35">
      <c r="A375" t="s">
        <v>88</v>
      </c>
      <c r="B375" t="s">
        <v>139</v>
      </c>
      <c r="C375" s="3">
        <v>700</v>
      </c>
      <c r="D375">
        <f>_xlfn.XLOOKUP(A375, produk!$B:$B, produk!$A:$A)</f>
        <v>88</v>
      </c>
      <c r="E375">
        <f>_xlfn.XLOOKUP(B375, jenis_pekerjaan!$B:$B, jenis_pekerjaan!$A:$A)</f>
        <v>20</v>
      </c>
      <c r="F375" s="7">
        <v>0.54</v>
      </c>
      <c r="G375">
        <f t="shared" si="5"/>
        <v>0.54</v>
      </c>
    </row>
    <row r="376" spans="1:7" x14ac:dyDescent="0.35">
      <c r="D376">
        <f>_xlfn.XLOOKUP(A376, produk!$B:$B, produk!$A:$A)</f>
        <v>0</v>
      </c>
      <c r="E376">
        <f>_xlfn.XLOOKUP(B376, jenis_pekerjaan!$B:$B, jenis_pekerjaan!$A:$A)</f>
        <v>0</v>
      </c>
      <c r="F376" s="7"/>
      <c r="G376">
        <f t="shared" si="5"/>
        <v>0</v>
      </c>
    </row>
    <row r="377" spans="1:7" x14ac:dyDescent="0.35">
      <c r="A377" t="s">
        <v>89</v>
      </c>
      <c r="B377" t="s">
        <v>120</v>
      </c>
      <c r="C377" s="3">
        <v>1890</v>
      </c>
      <c r="D377">
        <f>_xlfn.XLOOKUP(A377, produk!$B:$B, produk!$A:$A)</f>
        <v>89</v>
      </c>
      <c r="E377">
        <f>_xlfn.XLOOKUP(B377, jenis_pekerjaan!$B:$B, jenis_pekerjaan!$A:$A)</f>
        <v>1</v>
      </c>
      <c r="F377" s="7">
        <v>0.2</v>
      </c>
      <c r="G377">
        <f t="shared" si="5"/>
        <v>0.2</v>
      </c>
    </row>
    <row r="378" spans="1:7" x14ac:dyDescent="0.35">
      <c r="A378" t="s">
        <v>89</v>
      </c>
      <c r="B378" t="s">
        <v>121</v>
      </c>
      <c r="D378">
        <f>_xlfn.XLOOKUP(A378, produk!$B:$B, produk!$A:$A)</f>
        <v>89</v>
      </c>
      <c r="E378">
        <f>_xlfn.XLOOKUP(B378, jenis_pekerjaan!$B:$B, jenis_pekerjaan!$A:$A)</f>
        <v>2</v>
      </c>
      <c r="F378" s="7" t="s">
        <v>210</v>
      </c>
      <c r="G378" t="e">
        <f t="shared" si="5"/>
        <v>#VALUE!</v>
      </c>
    </row>
    <row r="379" spans="1:7" x14ac:dyDescent="0.35">
      <c r="D379">
        <f>_xlfn.XLOOKUP(A379, produk!$B:$B, produk!$A:$A)</f>
        <v>0</v>
      </c>
      <c r="E379">
        <f>_xlfn.XLOOKUP(B379, jenis_pekerjaan!$B:$B, jenis_pekerjaan!$A:$A)</f>
        <v>0</v>
      </c>
      <c r="F379" s="7"/>
      <c r="G379">
        <f t="shared" si="5"/>
        <v>0</v>
      </c>
    </row>
    <row r="380" spans="1:7" x14ac:dyDescent="0.35">
      <c r="A380" t="s">
        <v>90</v>
      </c>
      <c r="B380" t="s">
        <v>120</v>
      </c>
      <c r="C380" s="3">
        <v>5600</v>
      </c>
      <c r="D380">
        <f>_xlfn.XLOOKUP(A380, produk!$B:$B, produk!$A:$A)</f>
        <v>90</v>
      </c>
      <c r="E380">
        <f>_xlfn.XLOOKUP(B380, jenis_pekerjaan!$B:$B, jenis_pekerjaan!$A:$A)</f>
        <v>1</v>
      </c>
      <c r="F380" s="7">
        <v>6.7500000000000004E-2</v>
      </c>
      <c r="G380">
        <f t="shared" si="5"/>
        <v>0.06</v>
      </c>
    </row>
    <row r="381" spans="1:7" x14ac:dyDescent="0.35">
      <c r="A381" t="s">
        <v>90</v>
      </c>
      <c r="D381">
        <f>_xlfn.XLOOKUP(A381, produk!$B:$B, produk!$A:$A)</f>
        <v>90</v>
      </c>
      <c r="E381">
        <f>_xlfn.XLOOKUP(B381, jenis_pekerjaan!$B:$B, jenis_pekerjaan!$A:$A)</f>
        <v>0</v>
      </c>
      <c r="F381" s="7" t="s">
        <v>210</v>
      </c>
      <c r="G381" t="e">
        <f t="shared" si="5"/>
        <v>#VALUE!</v>
      </c>
    </row>
    <row r="382" spans="1:7" x14ac:dyDescent="0.35">
      <c r="D382">
        <f>_xlfn.XLOOKUP(A382, produk!$B:$B, produk!$A:$A)</f>
        <v>0</v>
      </c>
      <c r="E382">
        <f>_xlfn.XLOOKUP(B382, jenis_pekerjaan!$B:$B, jenis_pekerjaan!$A:$A)</f>
        <v>0</v>
      </c>
      <c r="F382" s="7"/>
      <c r="G382">
        <f t="shared" si="5"/>
        <v>0</v>
      </c>
    </row>
    <row r="383" spans="1:7" x14ac:dyDescent="0.35">
      <c r="A383" t="s">
        <v>91</v>
      </c>
      <c r="B383" t="s">
        <v>120</v>
      </c>
      <c r="C383" s="3" t="s">
        <v>203</v>
      </c>
      <c r="D383">
        <f>_xlfn.XLOOKUP(A383, produk!$B:$B, produk!$A:$A)</f>
        <v>91</v>
      </c>
      <c r="E383">
        <f>_xlfn.XLOOKUP(B383, jenis_pekerjaan!$B:$B, jenis_pekerjaan!$A:$A)</f>
        <v>1</v>
      </c>
      <c r="F383" s="7" t="s">
        <v>221</v>
      </c>
      <c r="G383" t="e">
        <f t="shared" si="5"/>
        <v>#VALUE!</v>
      </c>
    </row>
    <row r="384" spans="1:7" x14ac:dyDescent="0.35">
      <c r="A384" t="s">
        <v>91</v>
      </c>
      <c r="B384" t="s">
        <v>121</v>
      </c>
      <c r="D384">
        <f>_xlfn.XLOOKUP(A384, produk!$B:$B, produk!$A:$A)</f>
        <v>91</v>
      </c>
      <c r="E384">
        <f>_xlfn.XLOOKUP(B384, jenis_pekerjaan!$B:$B, jenis_pekerjaan!$A:$A)</f>
        <v>2</v>
      </c>
      <c r="F384" s="7" t="s">
        <v>210</v>
      </c>
      <c r="G384" t="e">
        <f t="shared" si="5"/>
        <v>#VALUE!</v>
      </c>
    </row>
    <row r="385" spans="1:7" x14ac:dyDescent="0.35">
      <c r="A385" t="s">
        <v>91</v>
      </c>
      <c r="B385" t="s">
        <v>124</v>
      </c>
      <c r="D385">
        <f>_xlfn.XLOOKUP(A385, produk!$B:$B, produk!$A:$A)</f>
        <v>91</v>
      </c>
      <c r="E385">
        <f>_xlfn.XLOOKUP(B385, jenis_pekerjaan!$B:$B, jenis_pekerjaan!$A:$A)</f>
        <v>5</v>
      </c>
      <c r="F385" s="7" t="s">
        <v>210</v>
      </c>
      <c r="G385" t="e">
        <f t="shared" si="5"/>
        <v>#VALUE!</v>
      </c>
    </row>
    <row r="386" spans="1:7" x14ac:dyDescent="0.35">
      <c r="A386" t="s">
        <v>91</v>
      </c>
      <c r="B386" t="s">
        <v>166</v>
      </c>
      <c r="C386" s="3">
        <v>0</v>
      </c>
      <c r="D386">
        <f>_xlfn.XLOOKUP(A386, produk!$B:$B, produk!$A:$A)</f>
        <v>91</v>
      </c>
      <c r="E386">
        <f>_xlfn.XLOOKUP(B386, jenis_pekerjaan!$B:$B, jenis_pekerjaan!$A:$A)</f>
        <v>47</v>
      </c>
      <c r="F386" s="7" t="s">
        <v>210</v>
      </c>
      <c r="G386" t="e">
        <f t="shared" si="5"/>
        <v>#VALUE!</v>
      </c>
    </row>
    <row r="387" spans="1:7" x14ac:dyDescent="0.35">
      <c r="D387">
        <f>_xlfn.XLOOKUP(A387, produk!$B:$B, produk!$A:$A)</f>
        <v>0</v>
      </c>
      <c r="E387">
        <f>_xlfn.XLOOKUP(B387, jenis_pekerjaan!$B:$B, jenis_pekerjaan!$A:$A)</f>
        <v>0</v>
      </c>
      <c r="F387" s="7"/>
      <c r="G387">
        <f t="shared" ref="G387:G450" si="6">ROUNDDOWN(F387,2)</f>
        <v>0</v>
      </c>
    </row>
    <row r="388" spans="1:7" x14ac:dyDescent="0.35">
      <c r="A388" t="s">
        <v>92</v>
      </c>
      <c r="B388" t="s">
        <v>120</v>
      </c>
      <c r="C388" s="3">
        <v>1260</v>
      </c>
      <c r="D388">
        <f>_xlfn.XLOOKUP(A388, produk!$B:$B, produk!$A:$A)</f>
        <v>92</v>
      </c>
      <c r="E388">
        <f>_xlfn.XLOOKUP(B388, jenis_pekerjaan!$B:$B, jenis_pekerjaan!$A:$A)</f>
        <v>1</v>
      </c>
      <c r="F388" s="7">
        <v>0.3</v>
      </c>
      <c r="G388">
        <f t="shared" si="6"/>
        <v>0.3</v>
      </c>
    </row>
    <row r="389" spans="1:7" x14ac:dyDescent="0.35">
      <c r="A389" t="s">
        <v>92</v>
      </c>
      <c r="B389" t="s">
        <v>150</v>
      </c>
      <c r="C389" s="3">
        <v>250</v>
      </c>
      <c r="D389">
        <f>_xlfn.XLOOKUP(A389, produk!$B:$B, produk!$A:$A)</f>
        <v>92</v>
      </c>
      <c r="E389">
        <f>_xlfn.XLOOKUP(B389, jenis_pekerjaan!$B:$B, jenis_pekerjaan!$A:$A)</f>
        <v>31</v>
      </c>
      <c r="F389" s="7">
        <v>1.512</v>
      </c>
      <c r="G389">
        <f t="shared" si="6"/>
        <v>1.51</v>
      </c>
    </row>
    <row r="390" spans="1:7" x14ac:dyDescent="0.35">
      <c r="A390" t="s">
        <v>92</v>
      </c>
      <c r="B390" t="s">
        <v>151</v>
      </c>
      <c r="C390" s="3">
        <v>140</v>
      </c>
      <c r="D390">
        <f>_xlfn.XLOOKUP(A390, produk!$B:$B, produk!$A:$A)</f>
        <v>92</v>
      </c>
      <c r="E390">
        <f>_xlfn.XLOOKUP(B390, jenis_pekerjaan!$B:$B, jenis_pekerjaan!$A:$A)</f>
        <v>32</v>
      </c>
      <c r="F390" s="7">
        <v>2.7</v>
      </c>
      <c r="G390">
        <f t="shared" si="6"/>
        <v>2.7</v>
      </c>
    </row>
    <row r="391" spans="1:7" x14ac:dyDescent="0.35">
      <c r="A391" t="s">
        <v>92</v>
      </c>
      <c r="B391" t="s">
        <v>128</v>
      </c>
      <c r="C391" s="3">
        <v>70</v>
      </c>
      <c r="D391">
        <f>_xlfn.XLOOKUP(A391, produk!$B:$B, produk!$A:$A)</f>
        <v>92</v>
      </c>
      <c r="E391">
        <f>_xlfn.XLOOKUP(B391, jenis_pekerjaan!$B:$B, jenis_pekerjaan!$A:$A)</f>
        <v>9</v>
      </c>
      <c r="F391" s="7">
        <v>5.4</v>
      </c>
      <c r="G391">
        <f t="shared" si="6"/>
        <v>5.4</v>
      </c>
    </row>
    <row r="392" spans="1:7" x14ac:dyDescent="0.35">
      <c r="A392" t="s">
        <v>92</v>
      </c>
      <c r="B392" t="s">
        <v>166</v>
      </c>
      <c r="C392" s="3">
        <v>70</v>
      </c>
      <c r="D392">
        <f>_xlfn.XLOOKUP(A392, produk!$B:$B, produk!$A:$A)</f>
        <v>92</v>
      </c>
      <c r="E392">
        <f>_xlfn.XLOOKUP(B392, jenis_pekerjaan!$B:$B, jenis_pekerjaan!$A:$A)</f>
        <v>47</v>
      </c>
      <c r="F392" s="7">
        <v>5.4</v>
      </c>
      <c r="G392">
        <f t="shared" si="6"/>
        <v>5.4</v>
      </c>
    </row>
    <row r="393" spans="1:7" x14ac:dyDescent="0.35">
      <c r="A393" t="s">
        <v>92</v>
      </c>
      <c r="B393" t="s">
        <v>170</v>
      </c>
      <c r="D393">
        <f>_xlfn.XLOOKUP(A393, produk!$B:$B, produk!$A:$A)</f>
        <v>92</v>
      </c>
      <c r="E393">
        <f>_xlfn.XLOOKUP(B393, jenis_pekerjaan!$B:$B, jenis_pekerjaan!$A:$A)</f>
        <v>52</v>
      </c>
      <c r="F393" s="7" t="s">
        <v>210</v>
      </c>
      <c r="G393" t="e">
        <f t="shared" si="6"/>
        <v>#VALUE!</v>
      </c>
    </row>
    <row r="394" spans="1:7" x14ac:dyDescent="0.35">
      <c r="D394">
        <f>_xlfn.XLOOKUP(A394, produk!$B:$B, produk!$A:$A)</f>
        <v>0</v>
      </c>
      <c r="E394">
        <f>_xlfn.XLOOKUP(B394, jenis_pekerjaan!$B:$B, jenis_pekerjaan!$A:$A)</f>
        <v>0</v>
      </c>
      <c r="F394" s="7"/>
      <c r="G394">
        <f t="shared" si="6"/>
        <v>0</v>
      </c>
    </row>
    <row r="395" spans="1:7" x14ac:dyDescent="0.35">
      <c r="A395" t="s">
        <v>93</v>
      </c>
      <c r="B395" t="s">
        <v>120</v>
      </c>
      <c r="C395" s="3">
        <v>1260</v>
      </c>
      <c r="D395">
        <f>_xlfn.XLOOKUP(A395, produk!$B:$B, produk!$A:$A)</f>
        <v>93</v>
      </c>
      <c r="E395">
        <f>_xlfn.XLOOKUP(B395, jenis_pekerjaan!$B:$B, jenis_pekerjaan!$A:$A)</f>
        <v>1</v>
      </c>
      <c r="F395" s="7">
        <v>0.3</v>
      </c>
      <c r="G395">
        <f t="shared" si="6"/>
        <v>0.3</v>
      </c>
    </row>
    <row r="396" spans="1:7" x14ac:dyDescent="0.35">
      <c r="A396" t="s">
        <v>93</v>
      </c>
      <c r="B396" t="s">
        <v>191</v>
      </c>
      <c r="C396" s="3">
        <v>180</v>
      </c>
      <c r="D396">
        <f>_xlfn.XLOOKUP(A396, produk!$B:$B, produk!$A:$A)</f>
        <v>93</v>
      </c>
      <c r="E396">
        <f>_xlfn.XLOOKUP(B396, jenis_pekerjaan!$B:$B, jenis_pekerjaan!$A:$A)</f>
        <v>74</v>
      </c>
      <c r="F396" s="7">
        <v>2.1</v>
      </c>
      <c r="G396">
        <f t="shared" si="6"/>
        <v>2.1</v>
      </c>
    </row>
    <row r="397" spans="1:7" x14ac:dyDescent="0.35">
      <c r="A397" t="s">
        <v>93</v>
      </c>
      <c r="B397" t="s">
        <v>152</v>
      </c>
      <c r="D397">
        <f>_xlfn.XLOOKUP(A397, produk!$B:$B, produk!$A:$A)</f>
        <v>93</v>
      </c>
      <c r="E397">
        <f>_xlfn.XLOOKUP(B397, jenis_pekerjaan!$B:$B, jenis_pekerjaan!$A:$A)</f>
        <v>33</v>
      </c>
      <c r="F397" s="7" t="s">
        <v>210</v>
      </c>
      <c r="G397" t="e">
        <f t="shared" si="6"/>
        <v>#VALUE!</v>
      </c>
    </row>
    <row r="398" spans="1:7" x14ac:dyDescent="0.35">
      <c r="A398" t="s">
        <v>93</v>
      </c>
      <c r="B398" t="s">
        <v>153</v>
      </c>
      <c r="D398">
        <f>_xlfn.XLOOKUP(A398, produk!$B:$B, produk!$A:$A)</f>
        <v>93</v>
      </c>
      <c r="E398">
        <f>_xlfn.XLOOKUP(B398, jenis_pekerjaan!$B:$B, jenis_pekerjaan!$A:$A)</f>
        <v>34</v>
      </c>
      <c r="F398" s="7" t="s">
        <v>210</v>
      </c>
      <c r="G398" t="e">
        <f t="shared" si="6"/>
        <v>#VALUE!</v>
      </c>
    </row>
    <row r="399" spans="1:7" x14ac:dyDescent="0.35">
      <c r="A399" t="s">
        <v>93</v>
      </c>
      <c r="B399" t="s">
        <v>170</v>
      </c>
      <c r="D399">
        <f>_xlfn.XLOOKUP(A399, produk!$B:$B, produk!$A:$A)</f>
        <v>93</v>
      </c>
      <c r="E399">
        <f>_xlfn.XLOOKUP(B399, jenis_pekerjaan!$B:$B, jenis_pekerjaan!$A:$A)</f>
        <v>52</v>
      </c>
      <c r="F399" s="7" t="s">
        <v>210</v>
      </c>
      <c r="G399" t="e">
        <f t="shared" si="6"/>
        <v>#VALUE!</v>
      </c>
    </row>
    <row r="400" spans="1:7" x14ac:dyDescent="0.35">
      <c r="D400">
        <f>_xlfn.XLOOKUP(A400, produk!$B:$B, produk!$A:$A)</f>
        <v>0</v>
      </c>
      <c r="E400">
        <f>_xlfn.XLOOKUP(B400, jenis_pekerjaan!$B:$B, jenis_pekerjaan!$A:$A)</f>
        <v>0</v>
      </c>
      <c r="F400" s="7"/>
      <c r="G400">
        <f t="shared" si="6"/>
        <v>0</v>
      </c>
    </row>
    <row r="401" spans="1:7" x14ac:dyDescent="0.35">
      <c r="A401" t="s">
        <v>94</v>
      </c>
      <c r="B401" t="s">
        <v>120</v>
      </c>
      <c r="C401" s="3">
        <v>1260</v>
      </c>
      <c r="D401">
        <f>_xlfn.XLOOKUP(A401, produk!$B:$B, produk!$A:$A)</f>
        <v>94</v>
      </c>
      <c r="E401">
        <f>_xlfn.XLOOKUP(B401, jenis_pekerjaan!$B:$B, jenis_pekerjaan!$A:$A)</f>
        <v>1</v>
      </c>
      <c r="F401" s="7">
        <v>0.3</v>
      </c>
      <c r="G401">
        <f t="shared" si="6"/>
        <v>0.3</v>
      </c>
    </row>
    <row r="402" spans="1:7" x14ac:dyDescent="0.35">
      <c r="A402" t="s">
        <v>94</v>
      </c>
      <c r="B402" t="s">
        <v>152</v>
      </c>
      <c r="C402" s="3">
        <v>180</v>
      </c>
      <c r="D402">
        <f>_xlfn.XLOOKUP(A402, produk!$B:$B, produk!$A:$A)</f>
        <v>94</v>
      </c>
      <c r="E402">
        <f>_xlfn.XLOOKUP(B402, jenis_pekerjaan!$B:$B, jenis_pekerjaan!$A:$A)</f>
        <v>33</v>
      </c>
      <c r="F402" s="7">
        <v>2.1</v>
      </c>
      <c r="G402">
        <f t="shared" si="6"/>
        <v>2.1</v>
      </c>
    </row>
    <row r="403" spans="1:7" x14ac:dyDescent="0.35">
      <c r="A403" t="s">
        <v>94</v>
      </c>
      <c r="B403" t="s">
        <v>153</v>
      </c>
      <c r="D403">
        <f>_xlfn.XLOOKUP(A403, produk!$B:$B, produk!$A:$A)</f>
        <v>94</v>
      </c>
      <c r="E403">
        <f>_xlfn.XLOOKUP(B403, jenis_pekerjaan!$B:$B, jenis_pekerjaan!$A:$A)</f>
        <v>34</v>
      </c>
      <c r="F403" s="7" t="s">
        <v>210</v>
      </c>
      <c r="G403" t="e">
        <f t="shared" si="6"/>
        <v>#VALUE!</v>
      </c>
    </row>
    <row r="404" spans="1:7" x14ac:dyDescent="0.35">
      <c r="A404" t="s">
        <v>94</v>
      </c>
      <c r="B404" t="s">
        <v>170</v>
      </c>
      <c r="D404">
        <f>_xlfn.XLOOKUP(A404, produk!$B:$B, produk!$A:$A)</f>
        <v>94</v>
      </c>
      <c r="E404">
        <f>_xlfn.XLOOKUP(B404, jenis_pekerjaan!$B:$B, jenis_pekerjaan!$A:$A)</f>
        <v>52</v>
      </c>
      <c r="F404" s="7" t="s">
        <v>210</v>
      </c>
      <c r="G404" t="e">
        <f t="shared" si="6"/>
        <v>#VALUE!</v>
      </c>
    </row>
    <row r="405" spans="1:7" x14ac:dyDescent="0.35">
      <c r="D405">
        <f>_xlfn.XLOOKUP(A405, produk!$B:$B, produk!$A:$A)</f>
        <v>0</v>
      </c>
      <c r="E405">
        <f>_xlfn.XLOOKUP(B405, jenis_pekerjaan!$B:$B, jenis_pekerjaan!$A:$A)</f>
        <v>0</v>
      </c>
      <c r="F405" s="8"/>
      <c r="G405">
        <f t="shared" si="6"/>
        <v>0</v>
      </c>
    </row>
    <row r="406" spans="1:7" x14ac:dyDescent="0.35">
      <c r="A406" t="s">
        <v>95</v>
      </c>
      <c r="B406" t="s">
        <v>120</v>
      </c>
      <c r="C406" s="3" t="s">
        <v>204</v>
      </c>
      <c r="D406">
        <f>_xlfn.XLOOKUP(A406, produk!$B:$B, produk!$A:$A)</f>
        <v>95</v>
      </c>
      <c r="E406">
        <f>_xlfn.XLOOKUP(B406, jenis_pekerjaan!$B:$B, jenis_pekerjaan!$A:$A)</f>
        <v>1</v>
      </c>
      <c r="F406" s="7" t="s">
        <v>224</v>
      </c>
      <c r="G406" t="e">
        <f t="shared" si="6"/>
        <v>#VALUE!</v>
      </c>
    </row>
    <row r="407" spans="1:7" x14ac:dyDescent="0.35">
      <c r="A407" t="s">
        <v>95</v>
      </c>
      <c r="B407" t="s">
        <v>121</v>
      </c>
      <c r="C407" s="3">
        <v>6300</v>
      </c>
      <c r="D407">
        <f>_xlfn.XLOOKUP(A407, produk!$B:$B, produk!$A:$A)</f>
        <v>95</v>
      </c>
      <c r="E407">
        <f>_xlfn.XLOOKUP(B407, jenis_pekerjaan!$B:$B, jenis_pekerjaan!$A:$A)</f>
        <v>2</v>
      </c>
      <c r="F407" s="7">
        <v>0.06</v>
      </c>
      <c r="G407">
        <f t="shared" si="6"/>
        <v>0.06</v>
      </c>
    </row>
    <row r="408" spans="1:7" x14ac:dyDescent="0.35">
      <c r="A408" t="s">
        <v>95</v>
      </c>
      <c r="B408" t="s">
        <v>124</v>
      </c>
      <c r="C408" s="3">
        <v>840</v>
      </c>
      <c r="D408">
        <f>_xlfn.XLOOKUP(A408, produk!$B:$B, produk!$A:$A)</f>
        <v>95</v>
      </c>
      <c r="E408">
        <f>_xlfn.XLOOKUP(B408, jenis_pekerjaan!$B:$B, jenis_pekerjaan!$A:$A)</f>
        <v>5</v>
      </c>
      <c r="F408" s="7">
        <v>0.45</v>
      </c>
      <c r="G408">
        <f t="shared" si="6"/>
        <v>0.45</v>
      </c>
    </row>
    <row r="409" spans="1:7" x14ac:dyDescent="0.35">
      <c r="A409" t="s">
        <v>95</v>
      </c>
      <c r="B409" t="s">
        <v>166</v>
      </c>
      <c r="C409" s="3">
        <v>700</v>
      </c>
      <c r="D409">
        <f>_xlfn.XLOOKUP(A409, produk!$B:$B, produk!$A:$A)</f>
        <v>95</v>
      </c>
      <c r="E409">
        <f>_xlfn.XLOOKUP(B409, jenis_pekerjaan!$B:$B, jenis_pekerjaan!$A:$A)</f>
        <v>47</v>
      </c>
      <c r="F409" s="7">
        <v>0.54</v>
      </c>
      <c r="G409">
        <f t="shared" si="6"/>
        <v>0.54</v>
      </c>
    </row>
    <row r="410" spans="1:7" x14ac:dyDescent="0.35">
      <c r="D410">
        <f>_xlfn.XLOOKUP(A410, produk!$B:$B, produk!$A:$A)</f>
        <v>0</v>
      </c>
      <c r="E410">
        <f>_xlfn.XLOOKUP(B410, jenis_pekerjaan!$B:$B, jenis_pekerjaan!$A:$A)</f>
        <v>0</v>
      </c>
      <c r="F410" s="7"/>
      <c r="G410">
        <f t="shared" si="6"/>
        <v>0</v>
      </c>
    </row>
    <row r="411" spans="1:7" x14ac:dyDescent="0.35">
      <c r="A411" t="s">
        <v>96</v>
      </c>
      <c r="B411" t="s">
        <v>120</v>
      </c>
      <c r="C411" s="3">
        <v>3500</v>
      </c>
      <c r="D411">
        <f>_xlfn.XLOOKUP(A411, produk!$B:$B, produk!$A:$A)</f>
        <v>96</v>
      </c>
      <c r="E411">
        <f>_xlfn.XLOOKUP(B411, jenis_pekerjaan!$B:$B, jenis_pekerjaan!$A:$A)</f>
        <v>1</v>
      </c>
      <c r="F411" s="7">
        <v>0.108</v>
      </c>
      <c r="G411">
        <f t="shared" si="6"/>
        <v>0.1</v>
      </c>
    </row>
    <row r="412" spans="1:7" x14ac:dyDescent="0.35">
      <c r="A412" t="s">
        <v>96</v>
      </c>
      <c r="B412" t="s">
        <v>121</v>
      </c>
      <c r="C412" s="3">
        <v>2500</v>
      </c>
      <c r="D412">
        <f>_xlfn.XLOOKUP(A412, produk!$B:$B, produk!$A:$A)</f>
        <v>96</v>
      </c>
      <c r="E412">
        <f>_xlfn.XLOOKUP(B412, jenis_pekerjaan!$B:$B, jenis_pekerjaan!$A:$A)</f>
        <v>2</v>
      </c>
      <c r="F412" s="7">
        <v>0.1512</v>
      </c>
      <c r="G412">
        <f t="shared" si="6"/>
        <v>0.15</v>
      </c>
    </row>
    <row r="413" spans="1:7" x14ac:dyDescent="0.35">
      <c r="A413" t="s">
        <v>96</v>
      </c>
      <c r="B413" t="s">
        <v>124</v>
      </c>
      <c r="C413" s="3">
        <v>630</v>
      </c>
      <c r="D413">
        <f>_xlfn.XLOOKUP(A413, produk!$B:$B, produk!$A:$A)</f>
        <v>96</v>
      </c>
      <c r="E413">
        <f>_xlfn.XLOOKUP(B413, jenis_pekerjaan!$B:$B, jenis_pekerjaan!$A:$A)</f>
        <v>5</v>
      </c>
      <c r="F413" s="7">
        <v>0.6</v>
      </c>
      <c r="G413">
        <f t="shared" si="6"/>
        <v>0.6</v>
      </c>
    </row>
    <row r="414" spans="1:7" x14ac:dyDescent="0.35">
      <c r="A414" t="s">
        <v>96</v>
      </c>
      <c r="B414" t="s">
        <v>166</v>
      </c>
      <c r="C414" s="3">
        <v>700</v>
      </c>
      <c r="D414">
        <f>_xlfn.XLOOKUP(A414, produk!$B:$B, produk!$A:$A)</f>
        <v>96</v>
      </c>
      <c r="E414">
        <f>_xlfn.XLOOKUP(B414, jenis_pekerjaan!$B:$B, jenis_pekerjaan!$A:$A)</f>
        <v>47</v>
      </c>
      <c r="F414" s="7">
        <v>0.54</v>
      </c>
      <c r="G414">
        <f t="shared" si="6"/>
        <v>0.54</v>
      </c>
    </row>
    <row r="415" spans="1:7" x14ac:dyDescent="0.35">
      <c r="A415" t="s">
        <v>96</v>
      </c>
      <c r="B415" t="s">
        <v>168</v>
      </c>
      <c r="D415">
        <f>_xlfn.XLOOKUP(A415, produk!$B:$B, produk!$A:$A)</f>
        <v>96</v>
      </c>
      <c r="E415">
        <f>_xlfn.XLOOKUP(B415, jenis_pekerjaan!$B:$B, jenis_pekerjaan!$A:$A)</f>
        <v>49</v>
      </c>
      <c r="F415" s="7" t="s">
        <v>210</v>
      </c>
      <c r="G415" t="e">
        <f t="shared" si="6"/>
        <v>#VALUE!</v>
      </c>
    </row>
    <row r="416" spans="1:7" x14ac:dyDescent="0.35">
      <c r="D416">
        <f>_xlfn.XLOOKUP(A416, produk!$B:$B, produk!$A:$A)</f>
        <v>0</v>
      </c>
      <c r="E416">
        <f>_xlfn.XLOOKUP(B416, jenis_pekerjaan!$B:$B, jenis_pekerjaan!$A:$A)</f>
        <v>0</v>
      </c>
      <c r="F416" s="7"/>
      <c r="G416">
        <f t="shared" si="6"/>
        <v>0</v>
      </c>
    </row>
    <row r="417" spans="1:7" x14ac:dyDescent="0.35">
      <c r="A417" t="s">
        <v>97</v>
      </c>
      <c r="B417" t="s">
        <v>120</v>
      </c>
      <c r="C417" s="3">
        <v>4500</v>
      </c>
      <c r="D417">
        <f>_xlfn.XLOOKUP(A417, produk!$B:$B, produk!$A:$A)</f>
        <v>97</v>
      </c>
      <c r="E417">
        <f>_xlfn.XLOOKUP(B417, jenis_pekerjaan!$B:$B, jenis_pekerjaan!$A:$A)</f>
        <v>1</v>
      </c>
      <c r="F417" s="7">
        <v>8.4000000000000005E-2</v>
      </c>
      <c r="G417">
        <f t="shared" si="6"/>
        <v>0.08</v>
      </c>
    </row>
    <row r="418" spans="1:7" x14ac:dyDescent="0.35">
      <c r="A418" t="s">
        <v>97</v>
      </c>
      <c r="B418" t="s">
        <v>121</v>
      </c>
      <c r="C418" s="3">
        <v>6300</v>
      </c>
      <c r="D418">
        <f>_xlfn.XLOOKUP(A418, produk!$B:$B, produk!$A:$A)</f>
        <v>97</v>
      </c>
      <c r="E418">
        <f>_xlfn.XLOOKUP(B418, jenis_pekerjaan!$B:$B, jenis_pekerjaan!$A:$A)</f>
        <v>2</v>
      </c>
      <c r="F418" s="7">
        <v>0.06</v>
      </c>
      <c r="G418">
        <f t="shared" si="6"/>
        <v>0.06</v>
      </c>
    </row>
    <row r="419" spans="1:7" x14ac:dyDescent="0.35">
      <c r="A419" t="s">
        <v>97</v>
      </c>
      <c r="B419" t="s">
        <v>124</v>
      </c>
      <c r="D419">
        <f>_xlfn.XLOOKUP(A419, produk!$B:$B, produk!$A:$A)</f>
        <v>97</v>
      </c>
      <c r="E419">
        <f>_xlfn.XLOOKUP(B419, jenis_pekerjaan!$B:$B, jenis_pekerjaan!$A:$A)</f>
        <v>5</v>
      </c>
      <c r="F419" s="7" t="s">
        <v>210</v>
      </c>
      <c r="G419" t="e">
        <f t="shared" si="6"/>
        <v>#VALUE!</v>
      </c>
    </row>
    <row r="420" spans="1:7" x14ac:dyDescent="0.35">
      <c r="D420">
        <f>_xlfn.XLOOKUP(A420, produk!$B:$B, produk!$A:$A)</f>
        <v>0</v>
      </c>
      <c r="E420">
        <f>_xlfn.XLOOKUP(B420, jenis_pekerjaan!$B:$B, jenis_pekerjaan!$A:$A)</f>
        <v>0</v>
      </c>
      <c r="F420" s="7"/>
      <c r="G420">
        <f t="shared" si="6"/>
        <v>0</v>
      </c>
    </row>
    <row r="421" spans="1:7" x14ac:dyDescent="0.35">
      <c r="A421" t="s">
        <v>98</v>
      </c>
      <c r="B421" t="s">
        <v>120</v>
      </c>
      <c r="D421">
        <f>_xlfn.XLOOKUP(A421, produk!$B:$B, produk!$A:$A)</f>
        <v>98</v>
      </c>
      <c r="E421">
        <f>_xlfn.XLOOKUP(B421, jenis_pekerjaan!$B:$B, jenis_pekerjaan!$A:$A)</f>
        <v>1</v>
      </c>
      <c r="F421" s="7" t="s">
        <v>210</v>
      </c>
      <c r="G421" t="e">
        <f t="shared" si="6"/>
        <v>#VALUE!</v>
      </c>
    </row>
    <row r="422" spans="1:7" x14ac:dyDescent="0.35">
      <c r="A422" t="s">
        <v>98</v>
      </c>
      <c r="B422" t="s">
        <v>139</v>
      </c>
      <c r="D422">
        <f>_xlfn.XLOOKUP(A422, produk!$B:$B, produk!$A:$A)</f>
        <v>98</v>
      </c>
      <c r="E422">
        <f>_xlfn.XLOOKUP(B422, jenis_pekerjaan!$B:$B, jenis_pekerjaan!$A:$A)</f>
        <v>20</v>
      </c>
      <c r="F422" s="7" t="s">
        <v>210</v>
      </c>
      <c r="G422" t="e">
        <f t="shared" si="6"/>
        <v>#VALUE!</v>
      </c>
    </row>
    <row r="423" spans="1:7" x14ac:dyDescent="0.35">
      <c r="D423">
        <f>_xlfn.XLOOKUP(A423, produk!$B:$B, produk!$A:$A)</f>
        <v>0</v>
      </c>
      <c r="E423">
        <f>_xlfn.XLOOKUP(B423, jenis_pekerjaan!$B:$B, jenis_pekerjaan!$A:$A)</f>
        <v>0</v>
      </c>
      <c r="F423" s="7"/>
      <c r="G423">
        <f t="shared" si="6"/>
        <v>0</v>
      </c>
    </row>
    <row r="424" spans="1:7" x14ac:dyDescent="0.35">
      <c r="A424" t="s">
        <v>99</v>
      </c>
      <c r="B424" t="s">
        <v>120</v>
      </c>
      <c r="C424" s="3">
        <v>3500</v>
      </c>
      <c r="D424">
        <f>_xlfn.XLOOKUP(A424, produk!$B:$B, produk!$A:$A)</f>
        <v>99</v>
      </c>
      <c r="E424">
        <f>_xlfn.XLOOKUP(B424, jenis_pekerjaan!$B:$B, jenis_pekerjaan!$A:$A)</f>
        <v>1</v>
      </c>
      <c r="F424" s="7">
        <v>0.108</v>
      </c>
      <c r="G424">
        <f t="shared" si="6"/>
        <v>0.1</v>
      </c>
    </row>
    <row r="425" spans="1:7" x14ac:dyDescent="0.35">
      <c r="A425" t="s">
        <v>99</v>
      </c>
      <c r="B425" t="s">
        <v>121</v>
      </c>
      <c r="D425">
        <f>_xlfn.XLOOKUP(A425, produk!$B:$B, produk!$A:$A)</f>
        <v>99</v>
      </c>
      <c r="E425">
        <f>_xlfn.XLOOKUP(B425, jenis_pekerjaan!$B:$B, jenis_pekerjaan!$A:$A)</f>
        <v>2</v>
      </c>
      <c r="F425" s="7" t="s">
        <v>210</v>
      </c>
      <c r="G425" t="e">
        <f t="shared" si="6"/>
        <v>#VALUE!</v>
      </c>
    </row>
    <row r="426" spans="1:7" x14ac:dyDescent="0.35">
      <c r="A426" t="s">
        <v>99</v>
      </c>
      <c r="B426" t="s">
        <v>163</v>
      </c>
      <c r="D426">
        <f>_xlfn.XLOOKUP(A426, produk!$B:$B, produk!$A:$A)</f>
        <v>99</v>
      </c>
      <c r="E426">
        <f>_xlfn.XLOOKUP(B426, jenis_pekerjaan!$B:$B, jenis_pekerjaan!$A:$A)</f>
        <v>44</v>
      </c>
      <c r="F426" s="7" t="s">
        <v>210</v>
      </c>
      <c r="G426" t="e">
        <f t="shared" si="6"/>
        <v>#VALUE!</v>
      </c>
    </row>
    <row r="427" spans="1:7" x14ac:dyDescent="0.35">
      <c r="A427" t="s">
        <v>99</v>
      </c>
      <c r="B427" t="s">
        <v>192</v>
      </c>
      <c r="C427" s="3">
        <v>2400</v>
      </c>
      <c r="D427">
        <f>_xlfn.XLOOKUP(A427, produk!$B:$B, produk!$A:$A)</f>
        <v>99</v>
      </c>
      <c r="E427">
        <f>_xlfn.XLOOKUP(B427, jenis_pekerjaan!$B:$B, jenis_pekerjaan!$A:$A)</f>
        <v>75</v>
      </c>
      <c r="F427" s="7">
        <v>0.1575</v>
      </c>
      <c r="G427">
        <f t="shared" si="6"/>
        <v>0.15</v>
      </c>
    </row>
    <row r="428" spans="1:7" x14ac:dyDescent="0.35">
      <c r="A428" t="s">
        <v>99</v>
      </c>
      <c r="B428" t="s">
        <v>138</v>
      </c>
      <c r="D428">
        <f>_xlfn.XLOOKUP(A428, produk!$B:$B, produk!$A:$A)</f>
        <v>99</v>
      </c>
      <c r="E428">
        <f>_xlfn.XLOOKUP(B428, jenis_pekerjaan!$B:$B, jenis_pekerjaan!$A:$A)</f>
        <v>19</v>
      </c>
      <c r="F428" s="7" t="s">
        <v>210</v>
      </c>
      <c r="G428" t="e">
        <f t="shared" si="6"/>
        <v>#VALUE!</v>
      </c>
    </row>
    <row r="429" spans="1:7" x14ac:dyDescent="0.35">
      <c r="A429" t="s">
        <v>99</v>
      </c>
      <c r="B429" t="s">
        <v>168</v>
      </c>
      <c r="D429">
        <f>_xlfn.XLOOKUP(A429, produk!$B:$B, produk!$A:$A)</f>
        <v>99</v>
      </c>
      <c r="E429">
        <f>_xlfn.XLOOKUP(B429, jenis_pekerjaan!$B:$B, jenis_pekerjaan!$A:$A)</f>
        <v>49</v>
      </c>
      <c r="F429" s="7" t="s">
        <v>210</v>
      </c>
      <c r="G429" t="e">
        <f t="shared" si="6"/>
        <v>#VALUE!</v>
      </c>
    </row>
    <row r="430" spans="1:7" x14ac:dyDescent="0.35">
      <c r="A430" t="s">
        <v>99</v>
      </c>
      <c r="B430" t="s">
        <v>193</v>
      </c>
      <c r="C430" s="3">
        <v>800</v>
      </c>
      <c r="D430">
        <f>_xlfn.XLOOKUP(A430, produk!$B:$B, produk!$A:$A)</f>
        <v>99</v>
      </c>
      <c r="E430">
        <f>_xlfn.XLOOKUP(B430, jenis_pekerjaan!$B:$B, jenis_pekerjaan!$A:$A)</f>
        <v>76</v>
      </c>
      <c r="F430" s="7">
        <v>0.47249999999999998</v>
      </c>
      <c r="G430">
        <f t="shared" si="6"/>
        <v>0.47</v>
      </c>
    </row>
    <row r="431" spans="1:7" x14ac:dyDescent="0.35">
      <c r="A431" t="s">
        <v>99</v>
      </c>
      <c r="B431" t="s">
        <v>169</v>
      </c>
      <c r="D431">
        <f>_xlfn.XLOOKUP(A431, produk!$B:$B, produk!$A:$A)</f>
        <v>99</v>
      </c>
      <c r="E431">
        <f>_xlfn.XLOOKUP(B431, jenis_pekerjaan!$B:$B, jenis_pekerjaan!$A:$A)</f>
        <v>50</v>
      </c>
      <c r="F431" s="7" t="s">
        <v>210</v>
      </c>
      <c r="G431" t="e">
        <f t="shared" si="6"/>
        <v>#VALUE!</v>
      </c>
    </row>
    <row r="432" spans="1:7" x14ac:dyDescent="0.35">
      <c r="D432">
        <f>_xlfn.XLOOKUP(A432, produk!$B:$B, produk!$A:$A)</f>
        <v>0</v>
      </c>
      <c r="E432">
        <f>_xlfn.XLOOKUP(B432, jenis_pekerjaan!$B:$B, jenis_pekerjaan!$A:$A)</f>
        <v>0</v>
      </c>
      <c r="F432" s="7"/>
      <c r="G432">
        <f t="shared" si="6"/>
        <v>0</v>
      </c>
    </row>
    <row r="433" spans="1:7" x14ac:dyDescent="0.35">
      <c r="A433" t="s">
        <v>100</v>
      </c>
      <c r="B433" t="s">
        <v>120</v>
      </c>
      <c r="C433" s="3">
        <v>3500</v>
      </c>
      <c r="D433">
        <f>_xlfn.XLOOKUP(A433, produk!$B:$B, produk!$A:$A)</f>
        <v>100</v>
      </c>
      <c r="E433">
        <f>_xlfn.XLOOKUP(B433, jenis_pekerjaan!$B:$B, jenis_pekerjaan!$A:$A)</f>
        <v>1</v>
      </c>
      <c r="F433" s="7">
        <v>0.108</v>
      </c>
      <c r="G433">
        <f t="shared" si="6"/>
        <v>0.1</v>
      </c>
    </row>
    <row r="434" spans="1:7" x14ac:dyDescent="0.35">
      <c r="A434" t="s">
        <v>100</v>
      </c>
      <c r="B434" t="s">
        <v>121</v>
      </c>
      <c r="D434">
        <f>_xlfn.XLOOKUP(A434, produk!$B:$B, produk!$A:$A)</f>
        <v>100</v>
      </c>
      <c r="E434">
        <f>_xlfn.XLOOKUP(B434, jenis_pekerjaan!$B:$B, jenis_pekerjaan!$A:$A)</f>
        <v>2</v>
      </c>
      <c r="F434" s="7" t="s">
        <v>210</v>
      </c>
      <c r="G434" t="e">
        <f t="shared" si="6"/>
        <v>#VALUE!</v>
      </c>
    </row>
    <row r="435" spans="1:7" x14ac:dyDescent="0.35">
      <c r="A435" t="s">
        <v>100</v>
      </c>
      <c r="B435" t="s">
        <v>163</v>
      </c>
      <c r="D435">
        <f>_xlfn.XLOOKUP(A435, produk!$B:$B, produk!$A:$A)</f>
        <v>100</v>
      </c>
      <c r="E435">
        <f>_xlfn.XLOOKUP(B435, jenis_pekerjaan!$B:$B, jenis_pekerjaan!$A:$A)</f>
        <v>44</v>
      </c>
      <c r="F435" s="7" t="s">
        <v>210</v>
      </c>
      <c r="G435" t="e">
        <f t="shared" si="6"/>
        <v>#VALUE!</v>
      </c>
    </row>
    <row r="436" spans="1:7" x14ac:dyDescent="0.35">
      <c r="A436" t="s">
        <v>100</v>
      </c>
      <c r="B436" t="s">
        <v>192</v>
      </c>
      <c r="D436">
        <f>_xlfn.XLOOKUP(A436, produk!$B:$B, produk!$A:$A)</f>
        <v>100</v>
      </c>
      <c r="E436">
        <f>_xlfn.XLOOKUP(B436, jenis_pekerjaan!$B:$B, jenis_pekerjaan!$A:$A)</f>
        <v>75</v>
      </c>
      <c r="F436" s="7" t="s">
        <v>210</v>
      </c>
      <c r="G436" t="e">
        <f t="shared" si="6"/>
        <v>#VALUE!</v>
      </c>
    </row>
    <row r="437" spans="1:7" x14ac:dyDescent="0.35">
      <c r="A437" t="s">
        <v>100</v>
      </c>
      <c r="B437" t="s">
        <v>138</v>
      </c>
      <c r="D437">
        <f>_xlfn.XLOOKUP(A437, produk!$B:$B, produk!$A:$A)</f>
        <v>100</v>
      </c>
      <c r="E437">
        <f>_xlfn.XLOOKUP(B437, jenis_pekerjaan!$B:$B, jenis_pekerjaan!$A:$A)</f>
        <v>19</v>
      </c>
      <c r="F437" s="7" t="s">
        <v>210</v>
      </c>
      <c r="G437" t="e">
        <f t="shared" si="6"/>
        <v>#VALUE!</v>
      </c>
    </row>
    <row r="438" spans="1:7" x14ac:dyDescent="0.35">
      <c r="A438" t="s">
        <v>100</v>
      </c>
      <c r="B438" t="s">
        <v>168</v>
      </c>
      <c r="C438" s="3">
        <v>200</v>
      </c>
      <c r="D438">
        <f>_xlfn.XLOOKUP(A438, produk!$B:$B, produk!$A:$A)</f>
        <v>100</v>
      </c>
      <c r="E438">
        <f>_xlfn.XLOOKUP(B438, jenis_pekerjaan!$B:$B, jenis_pekerjaan!$A:$A)</f>
        <v>49</v>
      </c>
      <c r="F438" s="7">
        <v>1.89</v>
      </c>
      <c r="G438">
        <f t="shared" si="6"/>
        <v>1.89</v>
      </c>
    </row>
    <row r="439" spans="1:7" x14ac:dyDescent="0.35">
      <c r="A439" t="s">
        <v>100</v>
      </c>
      <c r="B439" t="s">
        <v>193</v>
      </c>
      <c r="C439" s="3">
        <v>800</v>
      </c>
      <c r="D439">
        <f>_xlfn.XLOOKUP(A439, produk!$B:$B, produk!$A:$A)</f>
        <v>100</v>
      </c>
      <c r="E439">
        <f>_xlfn.XLOOKUP(B439, jenis_pekerjaan!$B:$B, jenis_pekerjaan!$A:$A)</f>
        <v>76</v>
      </c>
      <c r="F439" s="7">
        <v>0.47249999999999998</v>
      </c>
      <c r="G439">
        <f t="shared" si="6"/>
        <v>0.47</v>
      </c>
    </row>
    <row r="440" spans="1:7" x14ac:dyDescent="0.35">
      <c r="A440" t="s">
        <v>100</v>
      </c>
      <c r="B440" t="s">
        <v>168</v>
      </c>
      <c r="D440">
        <f>_xlfn.XLOOKUP(A440, produk!$B:$B, produk!$A:$A)</f>
        <v>100</v>
      </c>
      <c r="E440">
        <f>_xlfn.XLOOKUP(B440, jenis_pekerjaan!$B:$B, jenis_pekerjaan!$A:$A)</f>
        <v>49</v>
      </c>
      <c r="F440" s="7" t="s">
        <v>210</v>
      </c>
      <c r="G440" t="e">
        <f t="shared" si="6"/>
        <v>#VALUE!</v>
      </c>
    </row>
    <row r="441" spans="1:7" x14ac:dyDescent="0.35">
      <c r="D441">
        <f>_xlfn.XLOOKUP(A441, produk!$B:$B, produk!$A:$A)</f>
        <v>0</v>
      </c>
      <c r="E441">
        <f>_xlfn.XLOOKUP(B441, jenis_pekerjaan!$B:$B, jenis_pekerjaan!$A:$A)</f>
        <v>0</v>
      </c>
      <c r="F441" s="7"/>
      <c r="G441">
        <f t="shared" si="6"/>
        <v>0</v>
      </c>
    </row>
    <row r="442" spans="1:7" x14ac:dyDescent="0.35">
      <c r="A442" t="s">
        <v>101</v>
      </c>
      <c r="B442" t="s">
        <v>186</v>
      </c>
      <c r="C442" s="3" t="s">
        <v>201</v>
      </c>
      <c r="D442">
        <f>_xlfn.XLOOKUP(A442, produk!$B:$B, produk!$A:$A)</f>
        <v>101</v>
      </c>
      <c r="E442">
        <f>_xlfn.XLOOKUP(B442, jenis_pekerjaan!$B:$B, jenis_pekerjaan!$A:$A)</f>
        <v>69</v>
      </c>
      <c r="F442" s="7" t="s">
        <v>221</v>
      </c>
      <c r="G442" t="e">
        <f t="shared" si="6"/>
        <v>#VALUE!</v>
      </c>
    </row>
    <row r="443" spans="1:7" x14ac:dyDescent="0.35">
      <c r="A443" t="s">
        <v>101</v>
      </c>
      <c r="B443" t="s">
        <v>136</v>
      </c>
      <c r="C443" s="3">
        <v>150</v>
      </c>
      <c r="D443">
        <f>_xlfn.XLOOKUP(A443, produk!$B:$B, produk!$A:$A)</f>
        <v>101</v>
      </c>
      <c r="E443">
        <f>_xlfn.XLOOKUP(B443, jenis_pekerjaan!$B:$B, jenis_pekerjaan!$A:$A)</f>
        <v>17</v>
      </c>
      <c r="F443" s="7">
        <v>2.52</v>
      </c>
      <c r="G443">
        <f t="shared" si="6"/>
        <v>2.52</v>
      </c>
    </row>
    <row r="444" spans="1:7" x14ac:dyDescent="0.35">
      <c r="A444" t="s">
        <v>101</v>
      </c>
      <c r="B444" t="s">
        <v>188</v>
      </c>
      <c r="C444" s="3">
        <v>200</v>
      </c>
      <c r="D444">
        <f>_xlfn.XLOOKUP(A444, produk!$B:$B, produk!$A:$A)</f>
        <v>101</v>
      </c>
      <c r="E444">
        <f>_xlfn.XLOOKUP(B444, jenis_pekerjaan!$B:$B, jenis_pekerjaan!$A:$A)</f>
        <v>71</v>
      </c>
      <c r="F444" s="7">
        <v>1.89</v>
      </c>
      <c r="G444">
        <f t="shared" si="6"/>
        <v>1.89</v>
      </c>
    </row>
    <row r="445" spans="1:7" x14ac:dyDescent="0.35">
      <c r="A445" t="s">
        <v>101</v>
      </c>
      <c r="B445" t="s">
        <v>189</v>
      </c>
      <c r="C445" s="3">
        <v>140</v>
      </c>
      <c r="D445">
        <f>_xlfn.XLOOKUP(A445, produk!$B:$B, produk!$A:$A)</f>
        <v>101</v>
      </c>
      <c r="E445">
        <f>_xlfn.XLOOKUP(B445, jenis_pekerjaan!$B:$B, jenis_pekerjaan!$A:$A)</f>
        <v>72</v>
      </c>
      <c r="F445" s="7">
        <v>2.7</v>
      </c>
      <c r="G445">
        <f t="shared" si="6"/>
        <v>2.7</v>
      </c>
    </row>
    <row r="446" spans="1:7" x14ac:dyDescent="0.35">
      <c r="A446" t="s">
        <v>101</v>
      </c>
      <c r="B446" t="s">
        <v>164</v>
      </c>
      <c r="D446">
        <f>_xlfn.XLOOKUP(A446, produk!$B:$B, produk!$A:$A)</f>
        <v>101</v>
      </c>
      <c r="E446">
        <f>_xlfn.XLOOKUP(B446, jenis_pekerjaan!$B:$B, jenis_pekerjaan!$A:$A)</f>
        <v>45</v>
      </c>
      <c r="F446" s="7" t="s">
        <v>210</v>
      </c>
      <c r="G446" t="e">
        <f t="shared" si="6"/>
        <v>#VALUE!</v>
      </c>
    </row>
    <row r="447" spans="1:7" x14ac:dyDescent="0.35">
      <c r="A447" t="s">
        <v>101</v>
      </c>
      <c r="B447" t="s">
        <v>187</v>
      </c>
      <c r="D447">
        <f>_xlfn.XLOOKUP(A447, produk!$B:$B, produk!$A:$A)</f>
        <v>101</v>
      </c>
      <c r="E447">
        <f>_xlfn.XLOOKUP(B447, jenis_pekerjaan!$B:$B, jenis_pekerjaan!$A:$A)</f>
        <v>70</v>
      </c>
      <c r="F447" s="7" t="s">
        <v>210</v>
      </c>
      <c r="G447" t="e">
        <f t="shared" si="6"/>
        <v>#VALUE!</v>
      </c>
    </row>
    <row r="448" spans="1:7" x14ac:dyDescent="0.35">
      <c r="D448">
        <f>_xlfn.XLOOKUP(A448, produk!$B:$B, produk!$A:$A)</f>
        <v>0</v>
      </c>
      <c r="E448">
        <f>_xlfn.XLOOKUP(B448, jenis_pekerjaan!$B:$B, jenis_pekerjaan!$A:$A)</f>
        <v>0</v>
      </c>
      <c r="F448" s="7"/>
      <c r="G448">
        <f t="shared" si="6"/>
        <v>0</v>
      </c>
    </row>
    <row r="449" spans="1:7" x14ac:dyDescent="0.35">
      <c r="A449" t="s">
        <v>102</v>
      </c>
      <c r="D449">
        <f>_xlfn.XLOOKUP(A449, produk!$B:$B, produk!$A:$A)</f>
        <v>102</v>
      </c>
      <c r="E449">
        <f>_xlfn.XLOOKUP(B449, jenis_pekerjaan!$B:$B, jenis_pekerjaan!$A:$A)</f>
        <v>0</v>
      </c>
      <c r="F449" s="7" t="s">
        <v>210</v>
      </c>
      <c r="G449" t="e">
        <f t="shared" si="6"/>
        <v>#VALUE!</v>
      </c>
    </row>
    <row r="450" spans="1:7" x14ac:dyDescent="0.35">
      <c r="A450" t="s">
        <v>103</v>
      </c>
      <c r="B450" t="s">
        <v>120</v>
      </c>
      <c r="D450">
        <f>_xlfn.XLOOKUP(A450, produk!$B:$B, produk!$A:$A)</f>
        <v>103</v>
      </c>
      <c r="E450">
        <f>_xlfn.XLOOKUP(B450, jenis_pekerjaan!$B:$B, jenis_pekerjaan!$A:$A)</f>
        <v>1</v>
      </c>
      <c r="F450" s="7" t="s">
        <v>210</v>
      </c>
      <c r="G450" t="e">
        <f t="shared" si="6"/>
        <v>#VALUE!</v>
      </c>
    </row>
    <row r="451" spans="1:7" x14ac:dyDescent="0.35">
      <c r="A451" t="s">
        <v>103</v>
      </c>
      <c r="B451" t="s">
        <v>149</v>
      </c>
      <c r="D451">
        <f>_xlfn.XLOOKUP(A451, produk!$B:$B, produk!$A:$A)</f>
        <v>103</v>
      </c>
      <c r="E451">
        <f>_xlfn.XLOOKUP(B451, jenis_pekerjaan!$B:$B, jenis_pekerjaan!$A:$A)</f>
        <v>30</v>
      </c>
      <c r="F451" s="7" t="s">
        <v>210</v>
      </c>
      <c r="G451" t="e">
        <f t="shared" ref="G451:G514" si="7">ROUNDDOWN(F451,2)</f>
        <v>#VALUE!</v>
      </c>
    </row>
    <row r="452" spans="1:7" x14ac:dyDescent="0.35">
      <c r="A452" t="s">
        <v>103</v>
      </c>
      <c r="B452" t="s">
        <v>151</v>
      </c>
      <c r="D452">
        <f>_xlfn.XLOOKUP(A452, produk!$B:$B, produk!$A:$A)</f>
        <v>103</v>
      </c>
      <c r="E452">
        <f>_xlfn.XLOOKUP(B452, jenis_pekerjaan!$B:$B, jenis_pekerjaan!$A:$A)</f>
        <v>32</v>
      </c>
      <c r="F452" s="7" t="s">
        <v>210</v>
      </c>
      <c r="G452" t="e">
        <f t="shared" si="7"/>
        <v>#VALUE!</v>
      </c>
    </row>
    <row r="453" spans="1:7" x14ac:dyDescent="0.35">
      <c r="A453" t="s">
        <v>103</v>
      </c>
      <c r="B453" t="s">
        <v>170</v>
      </c>
      <c r="D453">
        <f>_xlfn.XLOOKUP(A453, produk!$B:$B, produk!$A:$A)</f>
        <v>103</v>
      </c>
      <c r="E453">
        <f>_xlfn.XLOOKUP(B453, jenis_pekerjaan!$B:$B, jenis_pekerjaan!$A:$A)</f>
        <v>52</v>
      </c>
      <c r="F453" s="7" t="s">
        <v>210</v>
      </c>
      <c r="G453" t="e">
        <f t="shared" si="7"/>
        <v>#VALUE!</v>
      </c>
    </row>
    <row r="454" spans="1:7" x14ac:dyDescent="0.35">
      <c r="D454">
        <f>_xlfn.XLOOKUP(A454, produk!$B:$B, produk!$A:$A)</f>
        <v>0</v>
      </c>
      <c r="E454">
        <f>_xlfn.XLOOKUP(B454, jenis_pekerjaan!$B:$B, jenis_pekerjaan!$A:$A)</f>
        <v>0</v>
      </c>
      <c r="F454" s="7"/>
      <c r="G454">
        <f t="shared" si="7"/>
        <v>0</v>
      </c>
    </row>
    <row r="455" spans="1:7" x14ac:dyDescent="0.35">
      <c r="A455" t="s">
        <v>104</v>
      </c>
      <c r="B455" t="s">
        <v>120</v>
      </c>
      <c r="D455">
        <f>_xlfn.XLOOKUP(A455, produk!$B:$B, produk!$A:$A)</f>
        <v>104</v>
      </c>
      <c r="E455">
        <f>_xlfn.XLOOKUP(B455, jenis_pekerjaan!$B:$B, jenis_pekerjaan!$A:$A)</f>
        <v>1</v>
      </c>
      <c r="F455" s="7" t="s">
        <v>210</v>
      </c>
      <c r="G455" t="e">
        <f t="shared" si="7"/>
        <v>#VALUE!</v>
      </c>
    </row>
    <row r="456" spans="1:7" x14ac:dyDescent="0.35">
      <c r="A456" t="s">
        <v>104</v>
      </c>
      <c r="B456" t="s">
        <v>150</v>
      </c>
      <c r="D456">
        <f>_xlfn.XLOOKUP(A456, produk!$B:$B, produk!$A:$A)</f>
        <v>104</v>
      </c>
      <c r="E456">
        <f>_xlfn.XLOOKUP(B456, jenis_pekerjaan!$B:$B, jenis_pekerjaan!$A:$A)</f>
        <v>31</v>
      </c>
      <c r="F456" s="7" t="s">
        <v>210</v>
      </c>
      <c r="G456" t="e">
        <f t="shared" si="7"/>
        <v>#VALUE!</v>
      </c>
    </row>
    <row r="457" spans="1:7" x14ac:dyDescent="0.35">
      <c r="A457" t="s">
        <v>104</v>
      </c>
      <c r="B457" t="s">
        <v>151</v>
      </c>
      <c r="D457">
        <f>_xlfn.XLOOKUP(A457, produk!$B:$B, produk!$A:$A)</f>
        <v>104</v>
      </c>
      <c r="E457">
        <f>_xlfn.XLOOKUP(B457, jenis_pekerjaan!$B:$B, jenis_pekerjaan!$A:$A)</f>
        <v>32</v>
      </c>
      <c r="F457" s="7" t="s">
        <v>210</v>
      </c>
      <c r="G457" t="e">
        <f t="shared" si="7"/>
        <v>#VALUE!</v>
      </c>
    </row>
    <row r="458" spans="1:7" x14ac:dyDescent="0.35">
      <c r="A458" t="s">
        <v>104</v>
      </c>
      <c r="B458" t="s">
        <v>194</v>
      </c>
      <c r="D458">
        <f>_xlfn.XLOOKUP(A458, produk!$B:$B, produk!$A:$A)</f>
        <v>104</v>
      </c>
      <c r="E458">
        <f>_xlfn.XLOOKUP(B458, jenis_pekerjaan!$B:$B, jenis_pekerjaan!$A:$A)</f>
        <v>77</v>
      </c>
      <c r="F458" s="7" t="s">
        <v>210</v>
      </c>
      <c r="G458" t="e">
        <f t="shared" si="7"/>
        <v>#VALUE!</v>
      </c>
    </row>
    <row r="459" spans="1:7" x14ac:dyDescent="0.35">
      <c r="A459" t="s">
        <v>104</v>
      </c>
      <c r="B459" t="s">
        <v>205</v>
      </c>
      <c r="D459">
        <f>_xlfn.XLOOKUP(A459, produk!$B:$B, produk!$A:$A)</f>
        <v>104</v>
      </c>
      <c r="E459" t="e">
        <f>_xlfn.XLOOKUP(B459, jenis_pekerjaan!$B:$B, jenis_pekerjaan!$A:$A)</f>
        <v>#N/A</v>
      </c>
      <c r="F459" s="7" t="s">
        <v>210</v>
      </c>
      <c r="G459" t="e">
        <f t="shared" si="7"/>
        <v>#VALUE!</v>
      </c>
    </row>
    <row r="460" spans="1:7" x14ac:dyDescent="0.35">
      <c r="D460">
        <f>_xlfn.XLOOKUP(A460, produk!$B:$B, produk!$A:$A)</f>
        <v>0</v>
      </c>
      <c r="E460">
        <f>_xlfn.XLOOKUP(B460, jenis_pekerjaan!$B:$B, jenis_pekerjaan!$A:$A)</f>
        <v>0</v>
      </c>
      <c r="F460" s="7"/>
      <c r="G460">
        <f t="shared" si="7"/>
        <v>0</v>
      </c>
    </row>
    <row r="461" spans="1:7" x14ac:dyDescent="0.35">
      <c r="A461" t="s">
        <v>105</v>
      </c>
      <c r="B461" t="s">
        <v>120</v>
      </c>
      <c r="C461" s="3">
        <v>3780</v>
      </c>
      <c r="D461">
        <f>_xlfn.XLOOKUP(A461, produk!$B:$B, produk!$A:$A)</f>
        <v>105</v>
      </c>
      <c r="E461">
        <f>_xlfn.XLOOKUP(B461, jenis_pekerjaan!$B:$B, jenis_pekerjaan!$A:$A)</f>
        <v>1</v>
      </c>
      <c r="F461" s="7">
        <v>0.1</v>
      </c>
      <c r="G461">
        <f t="shared" si="7"/>
        <v>0.1</v>
      </c>
    </row>
    <row r="462" spans="1:7" x14ac:dyDescent="0.35">
      <c r="A462" t="s">
        <v>105</v>
      </c>
      <c r="B462" t="s">
        <v>148</v>
      </c>
      <c r="D462">
        <f>_xlfn.XLOOKUP(A462, produk!$B:$B, produk!$A:$A)</f>
        <v>105</v>
      </c>
      <c r="E462">
        <f>_xlfn.XLOOKUP(B462, jenis_pekerjaan!$B:$B, jenis_pekerjaan!$A:$A)</f>
        <v>29</v>
      </c>
      <c r="F462" s="7" t="s">
        <v>210</v>
      </c>
      <c r="G462" t="e">
        <f t="shared" si="7"/>
        <v>#VALUE!</v>
      </c>
    </row>
    <row r="463" spans="1:7" x14ac:dyDescent="0.35">
      <c r="A463" t="s">
        <v>105</v>
      </c>
      <c r="D463">
        <f>_xlfn.XLOOKUP(A463, produk!$B:$B, produk!$A:$A)</f>
        <v>105</v>
      </c>
      <c r="E463">
        <f>_xlfn.XLOOKUP(B463, jenis_pekerjaan!$B:$B, jenis_pekerjaan!$A:$A)</f>
        <v>0</v>
      </c>
      <c r="F463" s="7" t="s">
        <v>210</v>
      </c>
      <c r="G463" t="e">
        <f t="shared" si="7"/>
        <v>#VALUE!</v>
      </c>
    </row>
    <row r="464" spans="1:7" x14ac:dyDescent="0.35">
      <c r="D464">
        <f>_xlfn.XLOOKUP(A464, produk!$B:$B, produk!$A:$A)</f>
        <v>0</v>
      </c>
      <c r="E464">
        <f>_xlfn.XLOOKUP(B464, jenis_pekerjaan!$B:$B, jenis_pekerjaan!$A:$A)</f>
        <v>0</v>
      </c>
      <c r="F464" s="7"/>
      <c r="G464">
        <f t="shared" si="7"/>
        <v>0</v>
      </c>
    </row>
    <row r="465" spans="1:7" x14ac:dyDescent="0.35">
      <c r="A465" t="s">
        <v>106</v>
      </c>
      <c r="B465" t="s">
        <v>120</v>
      </c>
      <c r="C465" s="3">
        <v>5600</v>
      </c>
      <c r="D465">
        <f>_xlfn.XLOOKUP(A465, produk!$B:$B, produk!$A:$A)</f>
        <v>106</v>
      </c>
      <c r="E465">
        <f>_xlfn.XLOOKUP(B465, jenis_pekerjaan!$B:$B, jenis_pekerjaan!$A:$A)</f>
        <v>1</v>
      </c>
      <c r="F465" s="7">
        <v>6.7500000000000004E-2</v>
      </c>
      <c r="G465">
        <f t="shared" si="7"/>
        <v>0.06</v>
      </c>
    </row>
    <row r="466" spans="1:7" x14ac:dyDescent="0.35">
      <c r="A466" t="s">
        <v>106</v>
      </c>
      <c r="B466" t="s">
        <v>146</v>
      </c>
      <c r="D466">
        <f>_xlfn.XLOOKUP(A466, produk!$B:$B, produk!$A:$A)</f>
        <v>106</v>
      </c>
      <c r="E466">
        <f>_xlfn.XLOOKUP(B466, jenis_pekerjaan!$B:$B, jenis_pekerjaan!$A:$A)</f>
        <v>27</v>
      </c>
      <c r="F466" s="7" t="s">
        <v>210</v>
      </c>
      <c r="G466" t="e">
        <f t="shared" si="7"/>
        <v>#VALUE!</v>
      </c>
    </row>
    <row r="467" spans="1:7" x14ac:dyDescent="0.35">
      <c r="A467" t="s">
        <v>106</v>
      </c>
      <c r="B467" t="s">
        <v>139</v>
      </c>
      <c r="D467">
        <f>_xlfn.XLOOKUP(A467, produk!$B:$B, produk!$A:$A)</f>
        <v>106</v>
      </c>
      <c r="E467">
        <f>_xlfn.XLOOKUP(B467, jenis_pekerjaan!$B:$B, jenis_pekerjaan!$A:$A)</f>
        <v>20</v>
      </c>
      <c r="F467" s="7" t="s">
        <v>210</v>
      </c>
      <c r="G467" t="e">
        <f t="shared" si="7"/>
        <v>#VALUE!</v>
      </c>
    </row>
    <row r="468" spans="1:7" x14ac:dyDescent="0.35">
      <c r="A468" t="s">
        <v>106</v>
      </c>
      <c r="B468" t="s">
        <v>149</v>
      </c>
      <c r="D468">
        <f>_xlfn.XLOOKUP(A468, produk!$B:$B, produk!$A:$A)</f>
        <v>106</v>
      </c>
      <c r="E468">
        <f>_xlfn.XLOOKUP(B468, jenis_pekerjaan!$B:$B, jenis_pekerjaan!$A:$A)</f>
        <v>30</v>
      </c>
      <c r="F468" s="7" t="s">
        <v>210</v>
      </c>
      <c r="G468" t="e">
        <f t="shared" si="7"/>
        <v>#VALUE!</v>
      </c>
    </row>
    <row r="469" spans="1:7" x14ac:dyDescent="0.35">
      <c r="A469" t="s">
        <v>106</v>
      </c>
      <c r="B469" t="s">
        <v>162</v>
      </c>
      <c r="C469" s="3">
        <v>300</v>
      </c>
      <c r="D469">
        <f>_xlfn.XLOOKUP(A469, produk!$B:$B, produk!$A:$A)</f>
        <v>106</v>
      </c>
      <c r="E469">
        <f>_xlfn.XLOOKUP(B469, jenis_pekerjaan!$B:$B, jenis_pekerjaan!$A:$A)</f>
        <v>43</v>
      </c>
      <c r="F469" s="7">
        <v>1.26</v>
      </c>
      <c r="G469">
        <f t="shared" si="7"/>
        <v>1.26</v>
      </c>
    </row>
    <row r="470" spans="1:7" x14ac:dyDescent="0.35">
      <c r="A470" t="s">
        <v>106</v>
      </c>
      <c r="B470" t="s">
        <v>161</v>
      </c>
      <c r="C470" s="3">
        <v>900</v>
      </c>
      <c r="D470">
        <f>_xlfn.XLOOKUP(A470, produk!$B:$B, produk!$A:$A)</f>
        <v>106</v>
      </c>
      <c r="E470">
        <f>_xlfn.XLOOKUP(B470, jenis_pekerjaan!$B:$B, jenis_pekerjaan!$A:$A)</f>
        <v>42</v>
      </c>
      <c r="F470" s="7">
        <v>0.42</v>
      </c>
      <c r="G470">
        <f t="shared" si="7"/>
        <v>0.42</v>
      </c>
    </row>
    <row r="471" spans="1:7" x14ac:dyDescent="0.35">
      <c r="A471" t="s">
        <v>106</v>
      </c>
      <c r="B471" t="s">
        <v>171</v>
      </c>
      <c r="C471" s="3">
        <v>300</v>
      </c>
      <c r="D471">
        <f>_xlfn.XLOOKUP(A471, produk!$B:$B, produk!$A:$A)</f>
        <v>106</v>
      </c>
      <c r="E471">
        <f>_xlfn.XLOOKUP(B471, jenis_pekerjaan!$B:$B, jenis_pekerjaan!$A:$A)</f>
        <v>53</v>
      </c>
      <c r="F471" s="7">
        <v>1.26</v>
      </c>
      <c r="G471">
        <f t="shared" si="7"/>
        <v>1.26</v>
      </c>
    </row>
    <row r="472" spans="1:7" x14ac:dyDescent="0.35">
      <c r="D472">
        <f>_xlfn.XLOOKUP(A472, produk!$B:$B, produk!$A:$A)</f>
        <v>0</v>
      </c>
      <c r="E472">
        <f>_xlfn.XLOOKUP(B472, jenis_pekerjaan!$B:$B, jenis_pekerjaan!$A:$A)</f>
        <v>0</v>
      </c>
      <c r="F472" s="7"/>
      <c r="G472">
        <f t="shared" si="7"/>
        <v>0</v>
      </c>
    </row>
    <row r="473" spans="1:7" x14ac:dyDescent="0.35">
      <c r="A473" t="s">
        <v>107</v>
      </c>
      <c r="B473" t="s">
        <v>120</v>
      </c>
      <c r="C473" s="3">
        <v>5600</v>
      </c>
      <c r="D473">
        <f>_xlfn.XLOOKUP(A473, produk!$B:$B, produk!$A:$A)</f>
        <v>107</v>
      </c>
      <c r="E473">
        <f>_xlfn.XLOOKUP(B473, jenis_pekerjaan!$B:$B, jenis_pekerjaan!$A:$A)</f>
        <v>1</v>
      </c>
      <c r="F473" s="7">
        <v>6.7500000000000004E-2</v>
      </c>
      <c r="G473">
        <f t="shared" si="7"/>
        <v>0.06</v>
      </c>
    </row>
    <row r="474" spans="1:7" x14ac:dyDescent="0.35">
      <c r="A474" t="s">
        <v>107</v>
      </c>
      <c r="B474" t="s">
        <v>140</v>
      </c>
      <c r="D474">
        <f>_xlfn.XLOOKUP(A474, produk!$B:$B, produk!$A:$A)</f>
        <v>107</v>
      </c>
      <c r="E474">
        <f>_xlfn.XLOOKUP(B474, jenis_pekerjaan!$B:$B, jenis_pekerjaan!$A:$A)</f>
        <v>21</v>
      </c>
      <c r="F474" s="7" t="s">
        <v>210</v>
      </c>
      <c r="G474" t="e">
        <f t="shared" si="7"/>
        <v>#VALUE!</v>
      </c>
    </row>
    <row r="475" spans="1:7" x14ac:dyDescent="0.35">
      <c r="A475" t="s">
        <v>107</v>
      </c>
      <c r="B475" t="s">
        <v>141</v>
      </c>
      <c r="D475">
        <f>_xlfn.XLOOKUP(A475, produk!$B:$B, produk!$A:$A)</f>
        <v>107</v>
      </c>
      <c r="E475">
        <f>_xlfn.XLOOKUP(B475, jenis_pekerjaan!$B:$B, jenis_pekerjaan!$A:$A)</f>
        <v>22</v>
      </c>
      <c r="F475" s="7" t="s">
        <v>210</v>
      </c>
      <c r="G475" t="e">
        <f t="shared" si="7"/>
        <v>#VALUE!</v>
      </c>
    </row>
    <row r="476" spans="1:7" x14ac:dyDescent="0.35">
      <c r="D476">
        <f>_xlfn.XLOOKUP(A476, produk!$B:$B, produk!$A:$A)</f>
        <v>0</v>
      </c>
      <c r="E476">
        <f>_xlfn.XLOOKUP(B476, jenis_pekerjaan!$B:$B, jenis_pekerjaan!$A:$A)</f>
        <v>0</v>
      </c>
      <c r="F476" s="7"/>
      <c r="G476">
        <f t="shared" si="7"/>
        <v>0</v>
      </c>
    </row>
    <row r="477" spans="1:7" x14ac:dyDescent="0.35">
      <c r="A477" t="s">
        <v>108</v>
      </c>
      <c r="B477" t="s">
        <v>120</v>
      </c>
      <c r="C477" s="3">
        <v>3780</v>
      </c>
      <c r="D477">
        <f>_xlfn.XLOOKUP(A477, produk!$B:$B, produk!$A:$A)</f>
        <v>108</v>
      </c>
      <c r="E477">
        <f>_xlfn.XLOOKUP(B477, jenis_pekerjaan!$B:$B, jenis_pekerjaan!$A:$A)</f>
        <v>1</v>
      </c>
      <c r="F477" s="7">
        <v>0.1</v>
      </c>
      <c r="G477">
        <f t="shared" si="7"/>
        <v>0.1</v>
      </c>
    </row>
    <row r="478" spans="1:7" x14ac:dyDescent="0.35">
      <c r="A478" t="s">
        <v>108</v>
      </c>
      <c r="B478" t="s">
        <v>121</v>
      </c>
      <c r="D478">
        <f>_xlfn.XLOOKUP(A478, produk!$B:$B, produk!$A:$A)</f>
        <v>108</v>
      </c>
      <c r="E478">
        <f>_xlfn.XLOOKUP(B478, jenis_pekerjaan!$B:$B, jenis_pekerjaan!$A:$A)</f>
        <v>2</v>
      </c>
      <c r="F478" s="7" t="s">
        <v>210</v>
      </c>
      <c r="G478" t="e">
        <f t="shared" si="7"/>
        <v>#VALUE!</v>
      </c>
    </row>
    <row r="479" spans="1:7" x14ac:dyDescent="0.35">
      <c r="A479" t="s">
        <v>108</v>
      </c>
      <c r="B479" t="s">
        <v>139</v>
      </c>
      <c r="D479">
        <f>_xlfn.XLOOKUP(A479, produk!$B:$B, produk!$A:$A)</f>
        <v>108</v>
      </c>
      <c r="E479">
        <f>_xlfn.XLOOKUP(B479, jenis_pekerjaan!$B:$B, jenis_pekerjaan!$A:$A)</f>
        <v>20</v>
      </c>
      <c r="F479" s="7" t="s">
        <v>210</v>
      </c>
      <c r="G479" t="e">
        <f t="shared" si="7"/>
        <v>#VALUE!</v>
      </c>
    </row>
    <row r="480" spans="1:7" x14ac:dyDescent="0.35">
      <c r="A480" t="s">
        <v>108</v>
      </c>
      <c r="B480" t="s">
        <v>160</v>
      </c>
      <c r="C480" s="3">
        <v>700</v>
      </c>
      <c r="D480">
        <f>_xlfn.XLOOKUP(A480, produk!$B:$B, produk!$A:$A)</f>
        <v>108</v>
      </c>
      <c r="E480">
        <f>_xlfn.XLOOKUP(B480, jenis_pekerjaan!$B:$B, jenis_pekerjaan!$A:$A)</f>
        <v>41</v>
      </c>
      <c r="F480" s="7">
        <v>0.54</v>
      </c>
      <c r="G480">
        <f t="shared" si="7"/>
        <v>0.54</v>
      </c>
    </row>
    <row r="481" spans="1:7" x14ac:dyDescent="0.35">
      <c r="D481">
        <f>_xlfn.XLOOKUP(A481, produk!$B:$B, produk!$A:$A)</f>
        <v>0</v>
      </c>
      <c r="E481">
        <f>_xlfn.XLOOKUP(B481, jenis_pekerjaan!$B:$B, jenis_pekerjaan!$A:$A)</f>
        <v>0</v>
      </c>
      <c r="F481" s="7"/>
      <c r="G481">
        <f t="shared" si="7"/>
        <v>0</v>
      </c>
    </row>
    <row r="482" spans="1:7" x14ac:dyDescent="0.35">
      <c r="A482" t="s">
        <v>109</v>
      </c>
      <c r="B482" t="s">
        <v>120</v>
      </c>
      <c r="D482">
        <f>_xlfn.XLOOKUP(A482, produk!$B:$B, produk!$A:$A)</f>
        <v>109</v>
      </c>
      <c r="E482">
        <f>_xlfn.XLOOKUP(B482, jenis_pekerjaan!$B:$B, jenis_pekerjaan!$A:$A)</f>
        <v>1</v>
      </c>
      <c r="F482" s="7" t="s">
        <v>210</v>
      </c>
      <c r="G482" t="e">
        <f t="shared" si="7"/>
        <v>#VALUE!</v>
      </c>
    </row>
    <row r="483" spans="1:7" x14ac:dyDescent="0.35">
      <c r="A483" t="s">
        <v>109</v>
      </c>
      <c r="B483" t="s">
        <v>158</v>
      </c>
      <c r="D483">
        <f>_xlfn.XLOOKUP(A483, produk!$B:$B, produk!$A:$A)</f>
        <v>109</v>
      </c>
      <c r="E483">
        <f>_xlfn.XLOOKUP(B483, jenis_pekerjaan!$B:$B, jenis_pekerjaan!$A:$A)</f>
        <v>39</v>
      </c>
      <c r="F483" s="7" t="s">
        <v>210</v>
      </c>
      <c r="G483" t="e">
        <f t="shared" si="7"/>
        <v>#VALUE!</v>
      </c>
    </row>
    <row r="484" spans="1:7" x14ac:dyDescent="0.35">
      <c r="A484" t="s">
        <v>109</v>
      </c>
      <c r="B484" t="s">
        <v>139</v>
      </c>
      <c r="D484">
        <f>_xlfn.XLOOKUP(A484, produk!$B:$B, produk!$A:$A)</f>
        <v>109</v>
      </c>
      <c r="E484">
        <f>_xlfn.XLOOKUP(B484, jenis_pekerjaan!$B:$B, jenis_pekerjaan!$A:$A)</f>
        <v>20</v>
      </c>
      <c r="F484" s="7" t="s">
        <v>210</v>
      </c>
      <c r="G484" t="e">
        <f t="shared" si="7"/>
        <v>#VALUE!</v>
      </c>
    </row>
    <row r="485" spans="1:7" x14ac:dyDescent="0.35">
      <c r="A485" t="s">
        <v>109</v>
      </c>
      <c r="B485" t="s">
        <v>146</v>
      </c>
      <c r="D485">
        <f>_xlfn.XLOOKUP(A485, produk!$B:$B, produk!$A:$A)</f>
        <v>109</v>
      </c>
      <c r="E485">
        <f>_xlfn.XLOOKUP(B485, jenis_pekerjaan!$B:$B, jenis_pekerjaan!$A:$A)</f>
        <v>27</v>
      </c>
      <c r="F485" s="7" t="s">
        <v>210</v>
      </c>
      <c r="G485" t="e">
        <f t="shared" si="7"/>
        <v>#VALUE!</v>
      </c>
    </row>
    <row r="486" spans="1:7" x14ac:dyDescent="0.35">
      <c r="A486" t="s">
        <v>109</v>
      </c>
      <c r="B486" t="s">
        <v>159</v>
      </c>
      <c r="D486">
        <f>_xlfn.XLOOKUP(A486, produk!$B:$B, produk!$A:$A)</f>
        <v>109</v>
      </c>
      <c r="E486">
        <f>_xlfn.XLOOKUP(B486, jenis_pekerjaan!$B:$B, jenis_pekerjaan!$A:$A)</f>
        <v>40</v>
      </c>
      <c r="F486" s="7" t="s">
        <v>210</v>
      </c>
      <c r="G486" t="e">
        <f t="shared" si="7"/>
        <v>#VALUE!</v>
      </c>
    </row>
    <row r="487" spans="1:7" x14ac:dyDescent="0.35">
      <c r="D487">
        <f>_xlfn.XLOOKUP(A487, produk!$B:$B, produk!$A:$A)</f>
        <v>0</v>
      </c>
      <c r="E487">
        <f>_xlfn.XLOOKUP(B487, jenis_pekerjaan!$B:$B, jenis_pekerjaan!$A:$A)</f>
        <v>0</v>
      </c>
      <c r="F487" s="7"/>
      <c r="G487">
        <f t="shared" si="7"/>
        <v>0</v>
      </c>
    </row>
    <row r="488" spans="1:7" x14ac:dyDescent="0.35">
      <c r="A488" t="s">
        <v>110</v>
      </c>
      <c r="B488" t="s">
        <v>148</v>
      </c>
      <c r="D488">
        <f>_xlfn.XLOOKUP(A488, produk!$B:$B, produk!$A:$A)</f>
        <v>110</v>
      </c>
      <c r="E488">
        <f>_xlfn.XLOOKUP(B488, jenis_pekerjaan!$B:$B, jenis_pekerjaan!$A:$A)</f>
        <v>29</v>
      </c>
      <c r="F488" s="7" t="s">
        <v>210</v>
      </c>
      <c r="G488" t="e">
        <f t="shared" si="7"/>
        <v>#VALUE!</v>
      </c>
    </row>
    <row r="489" spans="1:7" x14ac:dyDescent="0.35">
      <c r="D489">
        <f>_xlfn.XLOOKUP(A489, produk!$B:$B, produk!$A:$A)</f>
        <v>0</v>
      </c>
      <c r="E489">
        <f>_xlfn.XLOOKUP(B489, jenis_pekerjaan!$B:$B, jenis_pekerjaan!$A:$A)</f>
        <v>0</v>
      </c>
      <c r="F489" s="7"/>
      <c r="G489">
        <f t="shared" si="7"/>
        <v>0</v>
      </c>
    </row>
    <row r="490" spans="1:7" x14ac:dyDescent="0.35">
      <c r="A490" t="s">
        <v>111</v>
      </c>
      <c r="B490" t="s">
        <v>120</v>
      </c>
      <c r="C490" s="3">
        <v>15000</v>
      </c>
      <c r="D490">
        <f>_xlfn.XLOOKUP(A490, produk!$B:$B, produk!$A:$A)</f>
        <v>111</v>
      </c>
      <c r="E490">
        <f>_xlfn.XLOOKUP(B490, jenis_pekerjaan!$B:$B, jenis_pekerjaan!$A:$A)</f>
        <v>1</v>
      </c>
      <c r="F490" s="7">
        <v>2.52E-2</v>
      </c>
      <c r="G490">
        <f t="shared" si="7"/>
        <v>0.02</v>
      </c>
    </row>
    <row r="491" spans="1:7" x14ac:dyDescent="0.35">
      <c r="A491" t="s">
        <v>111</v>
      </c>
      <c r="B491" t="s">
        <v>121</v>
      </c>
      <c r="D491">
        <f>_xlfn.XLOOKUP(A491, produk!$B:$B, produk!$A:$A)</f>
        <v>111</v>
      </c>
      <c r="E491">
        <f>_xlfn.XLOOKUP(B491, jenis_pekerjaan!$B:$B, jenis_pekerjaan!$A:$A)</f>
        <v>2</v>
      </c>
      <c r="F491" s="7" t="s">
        <v>210</v>
      </c>
      <c r="G491" t="e">
        <f t="shared" si="7"/>
        <v>#VALUE!</v>
      </c>
    </row>
    <row r="492" spans="1:7" x14ac:dyDescent="0.35">
      <c r="A492" t="s">
        <v>111</v>
      </c>
      <c r="B492" t="s">
        <v>147</v>
      </c>
      <c r="D492">
        <f>_xlfn.XLOOKUP(A492, produk!$B:$B, produk!$A:$A)</f>
        <v>111</v>
      </c>
      <c r="E492">
        <f>_xlfn.XLOOKUP(B492, jenis_pekerjaan!$B:$B, jenis_pekerjaan!$A:$A)</f>
        <v>28</v>
      </c>
      <c r="F492" s="7" t="s">
        <v>225</v>
      </c>
      <c r="G492" t="e">
        <f t="shared" si="7"/>
        <v>#VALUE!</v>
      </c>
    </row>
    <row r="493" spans="1:7" x14ac:dyDescent="0.35">
      <c r="D493">
        <f>_xlfn.XLOOKUP(A493, produk!$B:$B, produk!$A:$A)</f>
        <v>0</v>
      </c>
      <c r="E493">
        <f>_xlfn.XLOOKUP(B493, jenis_pekerjaan!$B:$B, jenis_pekerjaan!$A:$A)</f>
        <v>0</v>
      </c>
      <c r="F493" s="8"/>
      <c r="G493">
        <f t="shared" si="7"/>
        <v>0</v>
      </c>
    </row>
    <row r="494" spans="1:7" x14ac:dyDescent="0.35">
      <c r="A494" t="s">
        <v>112</v>
      </c>
      <c r="B494" t="s">
        <v>120</v>
      </c>
      <c r="C494" s="3">
        <v>3780</v>
      </c>
      <c r="D494">
        <f>_xlfn.XLOOKUP(A494, produk!$B:$B, produk!$A:$A)</f>
        <v>112</v>
      </c>
      <c r="E494">
        <f>_xlfn.XLOOKUP(B494, jenis_pekerjaan!$B:$B, jenis_pekerjaan!$A:$A)</f>
        <v>1</v>
      </c>
      <c r="F494" s="7">
        <v>0.1</v>
      </c>
      <c r="G494">
        <f t="shared" si="7"/>
        <v>0.1</v>
      </c>
    </row>
    <row r="495" spans="1:7" x14ac:dyDescent="0.35">
      <c r="A495" t="s">
        <v>112</v>
      </c>
      <c r="B495" t="s">
        <v>148</v>
      </c>
      <c r="D495">
        <f>_xlfn.XLOOKUP(A495, produk!$B:$B, produk!$A:$A)</f>
        <v>112</v>
      </c>
      <c r="E495">
        <f>_xlfn.XLOOKUP(B495, jenis_pekerjaan!$B:$B, jenis_pekerjaan!$A:$A)</f>
        <v>29</v>
      </c>
      <c r="F495" s="7" t="s">
        <v>210</v>
      </c>
      <c r="G495" t="e">
        <f t="shared" si="7"/>
        <v>#VALUE!</v>
      </c>
    </row>
    <row r="496" spans="1:7" x14ac:dyDescent="0.35">
      <c r="A496" t="s">
        <v>112</v>
      </c>
      <c r="B496" t="s">
        <v>145</v>
      </c>
      <c r="D496">
        <f>_xlfn.XLOOKUP(A496, produk!$B:$B, produk!$A:$A)</f>
        <v>112</v>
      </c>
      <c r="E496">
        <f>_xlfn.XLOOKUP(B496, jenis_pekerjaan!$B:$B, jenis_pekerjaan!$A:$A)</f>
        <v>26</v>
      </c>
      <c r="F496" s="7" t="s">
        <v>210</v>
      </c>
      <c r="G496" t="e">
        <f t="shared" si="7"/>
        <v>#VALUE!</v>
      </c>
    </row>
    <row r="497" spans="1:7" x14ac:dyDescent="0.35">
      <c r="A497" t="s">
        <v>112</v>
      </c>
      <c r="B497" t="s">
        <v>147</v>
      </c>
      <c r="D497">
        <f>_xlfn.XLOOKUP(A497, produk!$B:$B, produk!$A:$A)</f>
        <v>112</v>
      </c>
      <c r="E497">
        <f>_xlfn.XLOOKUP(B497, jenis_pekerjaan!$B:$B, jenis_pekerjaan!$A:$A)</f>
        <v>28</v>
      </c>
      <c r="F497" s="7" t="s">
        <v>210</v>
      </c>
      <c r="G497" t="e">
        <f t="shared" si="7"/>
        <v>#VALUE!</v>
      </c>
    </row>
    <row r="498" spans="1:7" x14ac:dyDescent="0.35">
      <c r="D498">
        <f>_xlfn.XLOOKUP(A498, produk!$B:$B, produk!$A:$A)</f>
        <v>0</v>
      </c>
      <c r="E498">
        <f>_xlfn.XLOOKUP(B498, jenis_pekerjaan!$B:$B, jenis_pekerjaan!$A:$A)</f>
        <v>0</v>
      </c>
      <c r="F498" s="7"/>
      <c r="G498">
        <f t="shared" si="7"/>
        <v>0</v>
      </c>
    </row>
    <row r="499" spans="1:7" x14ac:dyDescent="0.35">
      <c r="A499" t="s">
        <v>113</v>
      </c>
      <c r="B499" t="s">
        <v>120</v>
      </c>
      <c r="C499" s="3">
        <v>3500</v>
      </c>
      <c r="D499">
        <f>_xlfn.XLOOKUP(A499, produk!$B:$B, produk!$A:$A)</f>
        <v>113</v>
      </c>
      <c r="E499">
        <f>_xlfn.XLOOKUP(B499, jenis_pekerjaan!$B:$B, jenis_pekerjaan!$A:$A)</f>
        <v>1</v>
      </c>
      <c r="F499" s="7">
        <v>0.108</v>
      </c>
      <c r="G499">
        <f t="shared" si="7"/>
        <v>0.1</v>
      </c>
    </row>
    <row r="500" spans="1:7" x14ac:dyDescent="0.35">
      <c r="A500" t="s">
        <v>113</v>
      </c>
      <c r="B500" t="s">
        <v>131</v>
      </c>
      <c r="C500" s="3">
        <v>1075</v>
      </c>
      <c r="D500">
        <f>_xlfn.XLOOKUP(A500, produk!$B:$B, produk!$A:$A)</f>
        <v>113</v>
      </c>
      <c r="E500">
        <f>_xlfn.XLOOKUP(B500, jenis_pekerjaan!$B:$B, jenis_pekerjaan!$A:$A)</f>
        <v>12</v>
      </c>
      <c r="F500" s="7">
        <v>0.35162790700000002</v>
      </c>
      <c r="G500">
        <f t="shared" si="7"/>
        <v>0.35</v>
      </c>
    </row>
    <row r="501" spans="1:7" x14ac:dyDescent="0.35">
      <c r="A501" t="s">
        <v>113</v>
      </c>
      <c r="B501" t="s">
        <v>132</v>
      </c>
      <c r="D501">
        <f>_xlfn.XLOOKUP(A501, produk!$B:$B, produk!$A:$A)</f>
        <v>113</v>
      </c>
      <c r="E501">
        <f>_xlfn.XLOOKUP(B501, jenis_pekerjaan!$B:$B, jenis_pekerjaan!$A:$A)</f>
        <v>13</v>
      </c>
      <c r="F501" s="7" t="s">
        <v>210</v>
      </c>
      <c r="G501" t="e">
        <f t="shared" si="7"/>
        <v>#VALUE!</v>
      </c>
    </row>
    <row r="502" spans="1:7" x14ac:dyDescent="0.35">
      <c r="A502" t="s">
        <v>113</v>
      </c>
      <c r="B502" t="s">
        <v>133</v>
      </c>
      <c r="D502">
        <f>_xlfn.XLOOKUP(A502, produk!$B:$B, produk!$A:$A)</f>
        <v>113</v>
      </c>
      <c r="E502">
        <f>_xlfn.XLOOKUP(B502, jenis_pekerjaan!$B:$B, jenis_pekerjaan!$A:$A)</f>
        <v>14</v>
      </c>
      <c r="F502" s="7" t="s">
        <v>210</v>
      </c>
      <c r="G502" t="e">
        <f t="shared" si="7"/>
        <v>#VALUE!</v>
      </c>
    </row>
    <row r="503" spans="1:7" x14ac:dyDescent="0.35">
      <c r="A503" t="s">
        <v>113</v>
      </c>
      <c r="B503" t="s">
        <v>121</v>
      </c>
      <c r="C503" s="3">
        <v>6300</v>
      </c>
      <c r="D503">
        <f>_xlfn.XLOOKUP(A503, produk!$B:$B, produk!$A:$A)</f>
        <v>113</v>
      </c>
      <c r="E503">
        <f>_xlfn.XLOOKUP(B503, jenis_pekerjaan!$B:$B, jenis_pekerjaan!$A:$A)</f>
        <v>2</v>
      </c>
      <c r="F503" s="7">
        <v>0.06</v>
      </c>
      <c r="G503">
        <f t="shared" si="7"/>
        <v>0.06</v>
      </c>
    </row>
    <row r="504" spans="1:7" x14ac:dyDescent="0.35">
      <c r="A504" t="s">
        <v>113</v>
      </c>
      <c r="B504" t="s">
        <v>138</v>
      </c>
      <c r="C504" s="3">
        <v>2800</v>
      </c>
      <c r="D504">
        <f>_xlfn.XLOOKUP(A504, produk!$B:$B, produk!$A:$A)</f>
        <v>113</v>
      </c>
      <c r="E504">
        <f>_xlfn.XLOOKUP(B504, jenis_pekerjaan!$B:$B, jenis_pekerjaan!$A:$A)</f>
        <v>19</v>
      </c>
      <c r="F504" s="7">
        <v>0.13500000000000001</v>
      </c>
      <c r="G504">
        <f t="shared" si="7"/>
        <v>0.13</v>
      </c>
    </row>
    <row r="505" spans="1:7" x14ac:dyDescent="0.35">
      <c r="A505" t="s">
        <v>113</v>
      </c>
      <c r="B505" t="s">
        <v>170</v>
      </c>
      <c r="D505">
        <f>_xlfn.XLOOKUP(A505, produk!$B:$B, produk!$A:$A)</f>
        <v>113</v>
      </c>
      <c r="E505">
        <f>_xlfn.XLOOKUP(B505, jenis_pekerjaan!$B:$B, jenis_pekerjaan!$A:$A)</f>
        <v>52</v>
      </c>
      <c r="F505" s="7" t="s">
        <v>210</v>
      </c>
      <c r="G505" t="e">
        <f t="shared" si="7"/>
        <v>#VALUE!</v>
      </c>
    </row>
    <row r="506" spans="1:7" x14ac:dyDescent="0.35">
      <c r="A506" t="s">
        <v>113</v>
      </c>
      <c r="B506" t="s">
        <v>188</v>
      </c>
      <c r="C506" s="3">
        <v>700</v>
      </c>
      <c r="D506">
        <f>_xlfn.XLOOKUP(A506, produk!$B:$B, produk!$A:$A)</f>
        <v>113</v>
      </c>
      <c r="E506">
        <f>_xlfn.XLOOKUP(B506, jenis_pekerjaan!$B:$B, jenis_pekerjaan!$A:$A)</f>
        <v>71</v>
      </c>
      <c r="F506" s="7">
        <v>0.54</v>
      </c>
      <c r="G506">
        <f t="shared" si="7"/>
        <v>0.54</v>
      </c>
    </row>
    <row r="507" spans="1:7" x14ac:dyDescent="0.35">
      <c r="D507">
        <f>_xlfn.XLOOKUP(A507, produk!$B:$B, produk!$A:$A)</f>
        <v>0</v>
      </c>
      <c r="E507">
        <f>_xlfn.XLOOKUP(B507, jenis_pekerjaan!$B:$B, jenis_pekerjaan!$A:$A)</f>
        <v>0</v>
      </c>
      <c r="F507" s="7"/>
      <c r="G507">
        <f t="shared" si="7"/>
        <v>0</v>
      </c>
    </row>
    <row r="508" spans="1:7" x14ac:dyDescent="0.35">
      <c r="A508" t="s">
        <v>114</v>
      </c>
      <c r="B508" t="s">
        <v>120</v>
      </c>
      <c r="C508" s="3">
        <v>3500</v>
      </c>
      <c r="D508">
        <f>_xlfn.XLOOKUP(A508, produk!$B:$B, produk!$A:$A)</f>
        <v>114</v>
      </c>
      <c r="E508">
        <f>_xlfn.XLOOKUP(B508, jenis_pekerjaan!$B:$B, jenis_pekerjaan!$A:$A)</f>
        <v>1</v>
      </c>
      <c r="F508" s="7">
        <v>0.108</v>
      </c>
      <c r="G508">
        <f t="shared" si="7"/>
        <v>0.1</v>
      </c>
    </row>
    <row r="509" spans="1:7" x14ac:dyDescent="0.35">
      <c r="A509" t="s">
        <v>114</v>
      </c>
      <c r="B509" t="s">
        <v>131</v>
      </c>
      <c r="C509" s="3">
        <v>1075</v>
      </c>
      <c r="D509">
        <f>_xlfn.XLOOKUP(A509, produk!$B:$B, produk!$A:$A)</f>
        <v>114</v>
      </c>
      <c r="E509">
        <f>_xlfn.XLOOKUP(B509, jenis_pekerjaan!$B:$B, jenis_pekerjaan!$A:$A)</f>
        <v>12</v>
      </c>
      <c r="F509" s="7">
        <v>0.35162790700000002</v>
      </c>
      <c r="G509">
        <f t="shared" si="7"/>
        <v>0.35</v>
      </c>
    </row>
    <row r="510" spans="1:7" x14ac:dyDescent="0.35">
      <c r="A510" t="s">
        <v>114</v>
      </c>
      <c r="B510" t="s">
        <v>132</v>
      </c>
      <c r="D510">
        <f>_xlfn.XLOOKUP(A510, produk!$B:$B, produk!$A:$A)</f>
        <v>114</v>
      </c>
      <c r="E510">
        <f>_xlfn.XLOOKUP(B510, jenis_pekerjaan!$B:$B, jenis_pekerjaan!$A:$A)</f>
        <v>13</v>
      </c>
      <c r="F510" s="7" t="s">
        <v>210</v>
      </c>
      <c r="G510" t="e">
        <f t="shared" si="7"/>
        <v>#VALUE!</v>
      </c>
    </row>
    <row r="511" spans="1:7" x14ac:dyDescent="0.35">
      <c r="A511" t="s">
        <v>114</v>
      </c>
      <c r="B511" t="s">
        <v>133</v>
      </c>
      <c r="D511">
        <f>_xlfn.XLOOKUP(A511, produk!$B:$B, produk!$A:$A)</f>
        <v>114</v>
      </c>
      <c r="E511">
        <f>_xlfn.XLOOKUP(B511, jenis_pekerjaan!$B:$B, jenis_pekerjaan!$A:$A)</f>
        <v>14</v>
      </c>
      <c r="F511" s="7" t="s">
        <v>210</v>
      </c>
      <c r="G511" t="e">
        <f t="shared" si="7"/>
        <v>#VALUE!</v>
      </c>
    </row>
    <row r="512" spans="1:7" x14ac:dyDescent="0.35">
      <c r="A512" t="s">
        <v>114</v>
      </c>
      <c r="B512" t="s">
        <v>121</v>
      </c>
      <c r="C512" s="3">
        <v>6300</v>
      </c>
      <c r="D512">
        <f>_xlfn.XLOOKUP(A512, produk!$B:$B, produk!$A:$A)</f>
        <v>114</v>
      </c>
      <c r="E512">
        <f>_xlfn.XLOOKUP(B512, jenis_pekerjaan!$B:$B, jenis_pekerjaan!$A:$A)</f>
        <v>2</v>
      </c>
      <c r="F512" s="7">
        <v>0.06</v>
      </c>
      <c r="G512">
        <f t="shared" si="7"/>
        <v>0.06</v>
      </c>
    </row>
    <row r="513" spans="1:7" x14ac:dyDescent="0.35">
      <c r="A513" t="s">
        <v>114</v>
      </c>
      <c r="B513" t="s">
        <v>138</v>
      </c>
      <c r="C513" s="3">
        <v>2800</v>
      </c>
      <c r="D513">
        <f>_xlfn.XLOOKUP(A513, produk!$B:$B, produk!$A:$A)</f>
        <v>114</v>
      </c>
      <c r="E513">
        <f>_xlfn.XLOOKUP(B513, jenis_pekerjaan!$B:$B, jenis_pekerjaan!$A:$A)</f>
        <v>19</v>
      </c>
      <c r="F513" s="7">
        <v>0.13500000000000001</v>
      </c>
      <c r="G513">
        <f t="shared" si="7"/>
        <v>0.13</v>
      </c>
    </row>
    <row r="514" spans="1:7" x14ac:dyDescent="0.35">
      <c r="A514" t="s">
        <v>114</v>
      </c>
      <c r="B514" t="s">
        <v>170</v>
      </c>
      <c r="D514">
        <f>_xlfn.XLOOKUP(A514, produk!$B:$B, produk!$A:$A)</f>
        <v>114</v>
      </c>
      <c r="E514">
        <f>_xlfn.XLOOKUP(B514, jenis_pekerjaan!$B:$B, jenis_pekerjaan!$A:$A)</f>
        <v>52</v>
      </c>
      <c r="F514" s="7" t="s">
        <v>210</v>
      </c>
      <c r="G514" t="e">
        <f t="shared" si="7"/>
        <v>#VALUE!</v>
      </c>
    </row>
    <row r="515" spans="1:7" x14ac:dyDescent="0.35">
      <c r="A515" t="s">
        <v>114</v>
      </c>
      <c r="B515" t="s">
        <v>188</v>
      </c>
      <c r="C515" s="3">
        <v>700</v>
      </c>
      <c r="D515">
        <f>_xlfn.XLOOKUP(A515, produk!$B:$B, produk!$A:$A)</f>
        <v>114</v>
      </c>
      <c r="E515">
        <f>_xlfn.XLOOKUP(B515, jenis_pekerjaan!$B:$B, jenis_pekerjaan!$A:$A)</f>
        <v>71</v>
      </c>
      <c r="F515" s="7">
        <v>0.54</v>
      </c>
      <c r="G515">
        <f t="shared" ref="G515:G524" si="8">ROUNDDOWN(F515,2)</f>
        <v>0.54</v>
      </c>
    </row>
    <row r="516" spans="1:7" x14ac:dyDescent="0.35">
      <c r="D516">
        <f>_xlfn.XLOOKUP(A516, produk!$B:$B, produk!$A:$A)</f>
        <v>0</v>
      </c>
      <c r="E516">
        <f>_xlfn.XLOOKUP(B516, jenis_pekerjaan!$B:$B, jenis_pekerjaan!$A:$A)</f>
        <v>0</v>
      </c>
      <c r="F516" s="7"/>
      <c r="G516">
        <f t="shared" si="8"/>
        <v>0</v>
      </c>
    </row>
    <row r="517" spans="1:7" x14ac:dyDescent="0.35">
      <c r="A517" t="s">
        <v>115</v>
      </c>
      <c r="B517" t="s">
        <v>120</v>
      </c>
      <c r="D517">
        <f>_xlfn.XLOOKUP(A517, produk!$B:$B, produk!$A:$A)</f>
        <v>115</v>
      </c>
      <c r="E517">
        <f>_xlfn.XLOOKUP(B517, jenis_pekerjaan!$B:$B, jenis_pekerjaan!$A:$A)</f>
        <v>1</v>
      </c>
      <c r="F517" s="7" t="s">
        <v>210</v>
      </c>
      <c r="G517" t="e">
        <f t="shared" si="8"/>
        <v>#VALUE!</v>
      </c>
    </row>
    <row r="518" spans="1:7" x14ac:dyDescent="0.35">
      <c r="A518" t="s">
        <v>115</v>
      </c>
      <c r="B518" t="s">
        <v>121</v>
      </c>
      <c r="C518" s="3">
        <v>3150</v>
      </c>
      <c r="D518">
        <f>_xlfn.XLOOKUP(A518, produk!$B:$B, produk!$A:$A)</f>
        <v>115</v>
      </c>
      <c r="E518">
        <f>_xlfn.XLOOKUP(B518, jenis_pekerjaan!$B:$B, jenis_pekerjaan!$A:$A)</f>
        <v>2</v>
      </c>
      <c r="F518" s="7">
        <v>0.12</v>
      </c>
      <c r="G518">
        <f t="shared" si="8"/>
        <v>0.12</v>
      </c>
    </row>
    <row r="519" spans="1:7" x14ac:dyDescent="0.35">
      <c r="A519" t="s">
        <v>115</v>
      </c>
      <c r="B519" t="s">
        <v>124</v>
      </c>
      <c r="D519">
        <f>_xlfn.XLOOKUP(A519, produk!$B:$B, produk!$A:$A)</f>
        <v>115</v>
      </c>
      <c r="E519">
        <f>_xlfn.XLOOKUP(B519, jenis_pekerjaan!$B:$B, jenis_pekerjaan!$A:$A)</f>
        <v>5</v>
      </c>
      <c r="F519" s="7" t="s">
        <v>210</v>
      </c>
      <c r="G519" t="e">
        <f t="shared" si="8"/>
        <v>#VALUE!</v>
      </c>
    </row>
    <row r="520" spans="1:7" x14ac:dyDescent="0.35">
      <c r="A520" t="s">
        <v>115</v>
      </c>
      <c r="B520" t="s">
        <v>166</v>
      </c>
      <c r="C520" s="3">
        <v>0</v>
      </c>
      <c r="D520">
        <f>_xlfn.XLOOKUP(A520, produk!$B:$B, produk!$A:$A)</f>
        <v>115</v>
      </c>
      <c r="E520">
        <f>_xlfn.XLOOKUP(B520, jenis_pekerjaan!$B:$B, jenis_pekerjaan!$A:$A)</f>
        <v>47</v>
      </c>
      <c r="F520" s="7" t="s">
        <v>210</v>
      </c>
      <c r="G520" t="e">
        <f t="shared" si="8"/>
        <v>#VALUE!</v>
      </c>
    </row>
    <row r="521" spans="1:7" x14ac:dyDescent="0.35">
      <c r="D521">
        <f>_xlfn.XLOOKUP(A521, produk!$B:$B, produk!$A:$A)</f>
        <v>0</v>
      </c>
      <c r="E521">
        <f>_xlfn.XLOOKUP(B521, jenis_pekerjaan!$B:$B, jenis_pekerjaan!$A:$A)</f>
        <v>0</v>
      </c>
      <c r="F521" s="7"/>
      <c r="G521">
        <f t="shared" si="8"/>
        <v>0</v>
      </c>
    </row>
    <row r="522" spans="1:7" x14ac:dyDescent="0.35">
      <c r="A522" t="s">
        <v>116</v>
      </c>
      <c r="D522">
        <f>_xlfn.XLOOKUP(A522, produk!$B:$B, produk!$A:$A)</f>
        <v>116</v>
      </c>
      <c r="E522">
        <f>_xlfn.XLOOKUP(B522, jenis_pekerjaan!$B:$B, jenis_pekerjaan!$A:$A)</f>
        <v>0</v>
      </c>
      <c r="F522" s="7" t="s">
        <v>210</v>
      </c>
      <c r="G522" t="e">
        <f t="shared" si="8"/>
        <v>#VALUE!</v>
      </c>
    </row>
    <row r="523" spans="1:7" x14ac:dyDescent="0.35">
      <c r="A523" t="s">
        <v>117</v>
      </c>
      <c r="D523">
        <f>_xlfn.XLOOKUP(A523, produk!$B:$B, produk!$A:$A)</f>
        <v>117</v>
      </c>
      <c r="E523">
        <f>_xlfn.XLOOKUP(B523, jenis_pekerjaan!$B:$B, jenis_pekerjaan!$A:$A)</f>
        <v>0</v>
      </c>
      <c r="F523" s="7"/>
      <c r="G523">
        <f t="shared" si="8"/>
        <v>0</v>
      </c>
    </row>
    <row r="524" spans="1:7" x14ac:dyDescent="0.35">
      <c r="A524" t="s">
        <v>118</v>
      </c>
      <c r="D524">
        <f>_xlfn.XLOOKUP(A524, produk!$B:$B, produk!$A:$A)</f>
        <v>118</v>
      </c>
      <c r="E524">
        <f>_xlfn.XLOOKUP(B524, jenis_pekerjaan!$B:$B, jenis_pekerjaan!$A:$A)</f>
        <v>0</v>
      </c>
      <c r="F524" s="7"/>
      <c r="G524">
        <f t="shared" si="8"/>
        <v>0</v>
      </c>
    </row>
    <row r="525" spans="1:7" x14ac:dyDescent="0.35">
      <c r="F525" s="8"/>
    </row>
    <row r="526" spans="1:7" x14ac:dyDescent="0.35">
      <c r="F526" s="8"/>
    </row>
    <row r="527" spans="1:7" x14ac:dyDescent="0.35">
      <c r="F527" s="8"/>
    </row>
    <row r="528" spans="1:7" x14ac:dyDescent="0.35">
      <c r="F528" s="8"/>
    </row>
    <row r="529" spans="6:6" x14ac:dyDescent="0.35">
      <c r="F529" s="8"/>
    </row>
    <row r="530" spans="6:6" x14ac:dyDescent="0.35">
      <c r="F530" s="8"/>
    </row>
    <row r="531" spans="6:6" x14ac:dyDescent="0.35">
      <c r="F531" s="8"/>
    </row>
    <row r="532" spans="6:6" x14ac:dyDescent="0.35">
      <c r="F532" s="8"/>
    </row>
    <row r="533" spans="6:6" x14ac:dyDescent="0.35">
      <c r="F533" s="8"/>
    </row>
    <row r="534" spans="6:6" x14ac:dyDescent="0.35">
      <c r="F534" s="8"/>
    </row>
    <row r="535" spans="6:6" x14ac:dyDescent="0.35">
      <c r="F535" s="8"/>
    </row>
    <row r="536" spans="6:6" x14ac:dyDescent="0.35">
      <c r="F536" s="8"/>
    </row>
    <row r="537" spans="6:6" x14ac:dyDescent="0.35">
      <c r="F537" s="8"/>
    </row>
    <row r="538" spans="6:6" x14ac:dyDescent="0.35">
      <c r="F538" s="8"/>
    </row>
    <row r="539" spans="6:6" x14ac:dyDescent="0.35">
      <c r="F539" s="8"/>
    </row>
    <row r="540" spans="6:6" x14ac:dyDescent="0.35">
      <c r="F540" s="8"/>
    </row>
    <row r="541" spans="6:6" x14ac:dyDescent="0.35">
      <c r="F541" s="8"/>
    </row>
    <row r="542" spans="6:6" x14ac:dyDescent="0.35">
      <c r="F542" s="8"/>
    </row>
    <row r="543" spans="6:6" x14ac:dyDescent="0.35">
      <c r="F543" s="8"/>
    </row>
    <row r="544" spans="6:6" x14ac:dyDescent="0.35">
      <c r="F544" s="8"/>
    </row>
    <row r="545" spans="6:6" x14ac:dyDescent="0.35">
      <c r="F545" s="8"/>
    </row>
    <row r="546" spans="6:6" x14ac:dyDescent="0.35">
      <c r="F546" s="8"/>
    </row>
    <row r="547" spans="6:6" x14ac:dyDescent="0.35">
      <c r="F547" s="8"/>
    </row>
    <row r="548" spans="6:6" x14ac:dyDescent="0.35">
      <c r="F548" s="8"/>
    </row>
    <row r="549" spans="6:6" x14ac:dyDescent="0.35">
      <c r="F549" s="8"/>
    </row>
    <row r="550" spans="6:6" x14ac:dyDescent="0.35">
      <c r="F550" s="8"/>
    </row>
    <row r="551" spans="6:6" x14ac:dyDescent="0.35">
      <c r="F551" s="8"/>
    </row>
    <row r="552" spans="6:6" x14ac:dyDescent="0.35">
      <c r="F552" s="8"/>
    </row>
    <row r="553" spans="6:6" x14ac:dyDescent="0.35">
      <c r="F553" s="8"/>
    </row>
    <row r="554" spans="6:6" x14ac:dyDescent="0.35">
      <c r="F554" s="8"/>
    </row>
    <row r="555" spans="6:6" x14ac:dyDescent="0.35">
      <c r="F555" s="8"/>
    </row>
    <row r="556" spans="6:6" x14ac:dyDescent="0.35">
      <c r="F556" s="8"/>
    </row>
    <row r="557" spans="6:6" x14ac:dyDescent="0.35">
      <c r="F557" s="8"/>
    </row>
    <row r="558" spans="6:6" x14ac:dyDescent="0.35">
      <c r="F558" s="8"/>
    </row>
    <row r="559" spans="6:6" x14ac:dyDescent="0.35">
      <c r="F559" s="8"/>
    </row>
    <row r="560" spans="6:6" x14ac:dyDescent="0.35">
      <c r="F560" s="8"/>
    </row>
    <row r="561" spans="6:6" x14ac:dyDescent="0.35">
      <c r="F561" s="8"/>
    </row>
    <row r="562" spans="6:6" x14ac:dyDescent="0.35">
      <c r="F562" s="8"/>
    </row>
    <row r="563" spans="6:6" x14ac:dyDescent="0.35">
      <c r="F563" s="8"/>
    </row>
    <row r="564" spans="6:6" x14ac:dyDescent="0.35">
      <c r="F564" s="8"/>
    </row>
    <row r="565" spans="6:6" x14ac:dyDescent="0.35">
      <c r="F565" s="8"/>
    </row>
    <row r="566" spans="6:6" x14ac:dyDescent="0.35">
      <c r="F566" s="8"/>
    </row>
    <row r="567" spans="6:6" x14ac:dyDescent="0.35">
      <c r="F567" s="8"/>
    </row>
    <row r="568" spans="6:6" x14ac:dyDescent="0.35">
      <c r="F568" s="8"/>
    </row>
    <row r="569" spans="6:6" x14ac:dyDescent="0.35">
      <c r="F569" s="8"/>
    </row>
    <row r="570" spans="6:6" x14ac:dyDescent="0.35">
      <c r="F570" s="8"/>
    </row>
    <row r="571" spans="6:6" x14ac:dyDescent="0.35">
      <c r="F571" s="8"/>
    </row>
    <row r="572" spans="6:6" x14ac:dyDescent="0.35">
      <c r="F572" s="8"/>
    </row>
    <row r="573" spans="6:6" x14ac:dyDescent="0.35">
      <c r="F573" s="8"/>
    </row>
    <row r="574" spans="6:6" x14ac:dyDescent="0.35">
      <c r="F574" s="8"/>
    </row>
    <row r="575" spans="6:6" x14ac:dyDescent="0.35">
      <c r="F575" s="8"/>
    </row>
    <row r="576" spans="6:6" x14ac:dyDescent="0.35">
      <c r="F576" s="8"/>
    </row>
    <row r="577" spans="6:6" x14ac:dyDescent="0.35">
      <c r="F577" s="8"/>
    </row>
    <row r="578" spans="6:6" x14ac:dyDescent="0.35">
      <c r="F578" s="8"/>
    </row>
    <row r="579" spans="6:6" x14ac:dyDescent="0.35">
      <c r="F579" s="8"/>
    </row>
    <row r="580" spans="6:6" x14ac:dyDescent="0.35">
      <c r="F580" s="8"/>
    </row>
    <row r="581" spans="6:6" x14ac:dyDescent="0.35">
      <c r="F581" s="8"/>
    </row>
    <row r="582" spans="6:6" x14ac:dyDescent="0.35">
      <c r="F582" s="8"/>
    </row>
    <row r="583" spans="6:6" x14ac:dyDescent="0.35">
      <c r="F583" s="8"/>
    </row>
    <row r="584" spans="6:6" x14ac:dyDescent="0.35">
      <c r="F584" s="8"/>
    </row>
    <row r="585" spans="6:6" x14ac:dyDescent="0.35">
      <c r="F585" s="8"/>
    </row>
    <row r="586" spans="6:6" x14ac:dyDescent="0.35">
      <c r="F586" s="8"/>
    </row>
    <row r="587" spans="6:6" x14ac:dyDescent="0.35">
      <c r="F587" s="8"/>
    </row>
    <row r="588" spans="6:6" x14ac:dyDescent="0.35">
      <c r="F588" s="8"/>
    </row>
    <row r="589" spans="6:6" x14ac:dyDescent="0.35">
      <c r="F589" s="8"/>
    </row>
    <row r="590" spans="6:6" x14ac:dyDescent="0.35">
      <c r="F590" s="8"/>
    </row>
    <row r="591" spans="6:6" x14ac:dyDescent="0.35">
      <c r="F591" s="8"/>
    </row>
    <row r="592" spans="6:6" x14ac:dyDescent="0.35">
      <c r="F592" s="8"/>
    </row>
    <row r="593" spans="6:6" x14ac:dyDescent="0.35">
      <c r="F593" s="8"/>
    </row>
    <row r="594" spans="6:6" x14ac:dyDescent="0.35">
      <c r="F594" s="8"/>
    </row>
    <row r="595" spans="6:6" x14ac:dyDescent="0.35">
      <c r="F595" s="8"/>
    </row>
    <row r="596" spans="6:6" x14ac:dyDescent="0.35">
      <c r="F596" s="8"/>
    </row>
    <row r="597" spans="6:6" x14ac:dyDescent="0.35">
      <c r="F597" s="8"/>
    </row>
    <row r="598" spans="6:6" x14ac:dyDescent="0.35">
      <c r="F598" s="8"/>
    </row>
    <row r="599" spans="6:6" x14ac:dyDescent="0.35">
      <c r="F599" s="8"/>
    </row>
    <row r="600" spans="6:6" x14ac:dyDescent="0.35">
      <c r="F600" s="8"/>
    </row>
    <row r="601" spans="6:6" x14ac:dyDescent="0.35">
      <c r="F601" s="8"/>
    </row>
    <row r="602" spans="6:6" x14ac:dyDescent="0.35">
      <c r="F602" s="8"/>
    </row>
    <row r="603" spans="6:6" x14ac:dyDescent="0.35">
      <c r="F603" s="8"/>
    </row>
    <row r="604" spans="6:6" x14ac:dyDescent="0.35">
      <c r="F604" s="8"/>
    </row>
    <row r="605" spans="6:6" x14ac:dyDescent="0.35">
      <c r="F605" s="8"/>
    </row>
    <row r="606" spans="6:6" x14ac:dyDescent="0.35">
      <c r="F606" s="8"/>
    </row>
    <row r="607" spans="6:6" x14ac:dyDescent="0.35">
      <c r="F607" s="8"/>
    </row>
    <row r="608" spans="6:6" x14ac:dyDescent="0.35">
      <c r="F608" s="8"/>
    </row>
    <row r="609" spans="6:6" x14ac:dyDescent="0.35">
      <c r="F609" s="8"/>
    </row>
    <row r="610" spans="6:6" x14ac:dyDescent="0.35">
      <c r="F610" s="8"/>
    </row>
    <row r="611" spans="6:6" x14ac:dyDescent="0.35">
      <c r="F611" s="8"/>
    </row>
    <row r="612" spans="6:6" x14ac:dyDescent="0.35">
      <c r="F612" s="8"/>
    </row>
    <row r="613" spans="6:6" x14ac:dyDescent="0.35">
      <c r="F613" s="8"/>
    </row>
    <row r="614" spans="6:6" x14ac:dyDescent="0.35">
      <c r="F614" s="8"/>
    </row>
    <row r="615" spans="6:6" x14ac:dyDescent="0.35">
      <c r="F615" s="8"/>
    </row>
    <row r="616" spans="6:6" x14ac:dyDescent="0.35">
      <c r="F616" s="8"/>
    </row>
    <row r="617" spans="6:6" x14ac:dyDescent="0.35">
      <c r="F617" s="8"/>
    </row>
    <row r="618" spans="6:6" x14ac:dyDescent="0.35">
      <c r="F618" s="8"/>
    </row>
    <row r="619" spans="6:6" x14ac:dyDescent="0.35">
      <c r="F619" s="8"/>
    </row>
    <row r="620" spans="6:6" x14ac:dyDescent="0.35">
      <c r="F620" s="8"/>
    </row>
    <row r="621" spans="6:6" x14ac:dyDescent="0.35">
      <c r="F621" s="8"/>
    </row>
    <row r="622" spans="6:6" x14ac:dyDescent="0.35">
      <c r="F622" s="8"/>
    </row>
    <row r="623" spans="6:6" x14ac:dyDescent="0.35">
      <c r="F623" s="8"/>
    </row>
    <row r="624" spans="6:6" x14ac:dyDescent="0.35">
      <c r="F624" s="8"/>
    </row>
    <row r="625" spans="6:6" x14ac:dyDescent="0.35">
      <c r="F625" s="8"/>
    </row>
    <row r="626" spans="6:6" x14ac:dyDescent="0.35">
      <c r="F626" s="8"/>
    </row>
    <row r="627" spans="6:6" x14ac:dyDescent="0.35">
      <c r="F627" s="8"/>
    </row>
    <row r="628" spans="6:6" x14ac:dyDescent="0.35">
      <c r="F628" s="8"/>
    </row>
    <row r="629" spans="6:6" x14ac:dyDescent="0.35">
      <c r="F629" s="8"/>
    </row>
    <row r="630" spans="6:6" x14ac:dyDescent="0.35">
      <c r="F630" s="8"/>
    </row>
    <row r="631" spans="6:6" x14ac:dyDescent="0.35">
      <c r="F631" s="8"/>
    </row>
    <row r="632" spans="6:6" x14ac:dyDescent="0.35">
      <c r="F632" s="8"/>
    </row>
    <row r="633" spans="6:6" x14ac:dyDescent="0.35">
      <c r="F633" s="8"/>
    </row>
    <row r="634" spans="6:6" x14ac:dyDescent="0.35">
      <c r="F634" s="8"/>
    </row>
    <row r="635" spans="6:6" x14ac:dyDescent="0.35">
      <c r="F635" s="8"/>
    </row>
    <row r="636" spans="6:6" x14ac:dyDescent="0.35">
      <c r="F636" s="8"/>
    </row>
    <row r="637" spans="6:6" x14ac:dyDescent="0.35">
      <c r="F637" s="8"/>
    </row>
    <row r="638" spans="6:6" x14ac:dyDescent="0.35">
      <c r="F638" s="8"/>
    </row>
    <row r="639" spans="6:6" x14ac:dyDescent="0.35">
      <c r="F639" s="8"/>
    </row>
    <row r="640" spans="6:6" x14ac:dyDescent="0.35">
      <c r="F640" s="8"/>
    </row>
    <row r="641" spans="6:6" x14ac:dyDescent="0.35">
      <c r="F641" s="8"/>
    </row>
    <row r="642" spans="6:6" x14ac:dyDescent="0.35">
      <c r="F642" s="8"/>
    </row>
    <row r="643" spans="6:6" x14ac:dyDescent="0.35">
      <c r="F643" s="8"/>
    </row>
    <row r="644" spans="6:6" x14ac:dyDescent="0.35">
      <c r="F644" s="8"/>
    </row>
    <row r="645" spans="6:6" x14ac:dyDescent="0.35">
      <c r="F645" s="8"/>
    </row>
    <row r="646" spans="6:6" x14ac:dyDescent="0.35">
      <c r="F646" s="8"/>
    </row>
    <row r="647" spans="6:6" x14ac:dyDescent="0.35">
      <c r="F647" s="8"/>
    </row>
    <row r="648" spans="6:6" x14ac:dyDescent="0.35">
      <c r="F648" s="8"/>
    </row>
    <row r="649" spans="6:6" x14ac:dyDescent="0.35">
      <c r="F649" s="8"/>
    </row>
    <row r="650" spans="6:6" x14ac:dyDescent="0.35">
      <c r="F650" s="8"/>
    </row>
    <row r="651" spans="6:6" x14ac:dyDescent="0.35">
      <c r="F651" s="8"/>
    </row>
    <row r="652" spans="6:6" x14ac:dyDescent="0.35">
      <c r="F652" s="8"/>
    </row>
    <row r="653" spans="6:6" x14ac:dyDescent="0.35">
      <c r="F653" s="8"/>
    </row>
    <row r="654" spans="6:6" x14ac:dyDescent="0.35">
      <c r="F654" s="8"/>
    </row>
    <row r="655" spans="6:6" x14ac:dyDescent="0.35">
      <c r="F655" s="8"/>
    </row>
    <row r="656" spans="6:6" x14ac:dyDescent="0.35">
      <c r="F656" s="8"/>
    </row>
    <row r="657" spans="6:6" x14ac:dyDescent="0.35">
      <c r="F657" s="8"/>
    </row>
    <row r="658" spans="6:6" x14ac:dyDescent="0.35">
      <c r="F658" s="8"/>
    </row>
    <row r="659" spans="6:6" x14ac:dyDescent="0.35">
      <c r="F659" s="8"/>
    </row>
    <row r="660" spans="6:6" x14ac:dyDescent="0.35">
      <c r="F660" s="8"/>
    </row>
    <row r="661" spans="6:6" x14ac:dyDescent="0.35">
      <c r="F661" s="8"/>
    </row>
    <row r="662" spans="6:6" x14ac:dyDescent="0.35">
      <c r="F662" s="8"/>
    </row>
    <row r="663" spans="6:6" x14ac:dyDescent="0.35">
      <c r="F663" s="8"/>
    </row>
    <row r="664" spans="6:6" x14ac:dyDescent="0.35">
      <c r="F664" s="8"/>
    </row>
    <row r="665" spans="6:6" x14ac:dyDescent="0.35">
      <c r="F665" s="8"/>
    </row>
    <row r="666" spans="6:6" x14ac:dyDescent="0.35">
      <c r="F666" s="8"/>
    </row>
    <row r="667" spans="6:6" x14ac:dyDescent="0.35">
      <c r="F667" s="8"/>
    </row>
    <row r="668" spans="6:6" x14ac:dyDescent="0.35">
      <c r="F668" s="8"/>
    </row>
    <row r="669" spans="6:6" x14ac:dyDescent="0.35">
      <c r="F669" s="8"/>
    </row>
    <row r="670" spans="6:6" x14ac:dyDescent="0.35">
      <c r="F670" s="8"/>
    </row>
    <row r="671" spans="6:6" x14ac:dyDescent="0.35">
      <c r="F671" s="8"/>
    </row>
    <row r="672" spans="6:6" x14ac:dyDescent="0.35">
      <c r="F672" s="8"/>
    </row>
    <row r="673" spans="6:6" x14ac:dyDescent="0.35">
      <c r="F673" s="8"/>
    </row>
    <row r="674" spans="6:6" x14ac:dyDescent="0.35">
      <c r="F674" s="8"/>
    </row>
    <row r="675" spans="6:6" x14ac:dyDescent="0.35">
      <c r="F675" s="8"/>
    </row>
    <row r="676" spans="6:6" x14ac:dyDescent="0.35">
      <c r="F676" s="8"/>
    </row>
    <row r="677" spans="6:6" x14ac:dyDescent="0.35">
      <c r="F677" s="8"/>
    </row>
    <row r="678" spans="6:6" x14ac:dyDescent="0.35">
      <c r="F678" s="8"/>
    </row>
    <row r="679" spans="6:6" x14ac:dyDescent="0.35">
      <c r="F679" s="8"/>
    </row>
    <row r="680" spans="6:6" x14ac:dyDescent="0.35">
      <c r="F680" s="8"/>
    </row>
    <row r="681" spans="6:6" x14ac:dyDescent="0.35">
      <c r="F681" s="8"/>
    </row>
    <row r="682" spans="6:6" x14ac:dyDescent="0.35">
      <c r="F682" s="8"/>
    </row>
    <row r="683" spans="6:6" x14ac:dyDescent="0.35">
      <c r="F683" s="8"/>
    </row>
    <row r="684" spans="6:6" x14ac:dyDescent="0.35">
      <c r="F684" s="8"/>
    </row>
    <row r="685" spans="6:6" x14ac:dyDescent="0.35">
      <c r="F685" s="8"/>
    </row>
    <row r="686" spans="6:6" x14ac:dyDescent="0.35">
      <c r="F686" s="8"/>
    </row>
    <row r="687" spans="6:6" x14ac:dyDescent="0.35">
      <c r="F687" s="8"/>
    </row>
    <row r="688" spans="6:6" x14ac:dyDescent="0.35">
      <c r="F688" s="8"/>
    </row>
    <row r="689" spans="6:6" x14ac:dyDescent="0.35">
      <c r="F689" s="8"/>
    </row>
    <row r="690" spans="6:6" x14ac:dyDescent="0.35">
      <c r="F690" s="8"/>
    </row>
    <row r="691" spans="6:6" x14ac:dyDescent="0.35">
      <c r="F691" s="8"/>
    </row>
    <row r="692" spans="6:6" x14ac:dyDescent="0.35">
      <c r="F692" s="8"/>
    </row>
    <row r="693" spans="6:6" x14ac:dyDescent="0.35">
      <c r="F693" s="8"/>
    </row>
    <row r="694" spans="6:6" x14ac:dyDescent="0.35">
      <c r="F694" s="8"/>
    </row>
    <row r="695" spans="6:6" x14ac:dyDescent="0.35">
      <c r="F695" s="8"/>
    </row>
    <row r="696" spans="6:6" x14ac:dyDescent="0.35">
      <c r="F696" s="8"/>
    </row>
    <row r="697" spans="6:6" x14ac:dyDescent="0.35">
      <c r="F697" s="8"/>
    </row>
    <row r="698" spans="6:6" x14ac:dyDescent="0.35">
      <c r="F698" s="8"/>
    </row>
    <row r="699" spans="6:6" x14ac:dyDescent="0.35">
      <c r="F699" s="8"/>
    </row>
    <row r="700" spans="6:6" x14ac:dyDescent="0.35">
      <c r="F700" s="8"/>
    </row>
    <row r="701" spans="6:6" x14ac:dyDescent="0.35">
      <c r="F701" s="8"/>
    </row>
    <row r="702" spans="6:6" x14ac:dyDescent="0.35">
      <c r="F702" s="8"/>
    </row>
    <row r="703" spans="6:6" x14ac:dyDescent="0.35">
      <c r="F703" s="8"/>
    </row>
    <row r="704" spans="6:6" x14ac:dyDescent="0.35">
      <c r="F704" s="8"/>
    </row>
    <row r="705" spans="6:6" x14ac:dyDescent="0.35">
      <c r="F705" s="8"/>
    </row>
    <row r="706" spans="6:6" x14ac:dyDescent="0.35">
      <c r="F706" s="8"/>
    </row>
    <row r="707" spans="6:6" x14ac:dyDescent="0.35">
      <c r="F707" s="8"/>
    </row>
    <row r="708" spans="6:6" x14ac:dyDescent="0.35">
      <c r="F708" s="8"/>
    </row>
    <row r="709" spans="6:6" x14ac:dyDescent="0.35">
      <c r="F709" s="8"/>
    </row>
    <row r="710" spans="6:6" x14ac:dyDescent="0.35">
      <c r="F710" s="8"/>
    </row>
    <row r="711" spans="6:6" x14ac:dyDescent="0.35">
      <c r="F711" s="8"/>
    </row>
    <row r="712" spans="6:6" x14ac:dyDescent="0.35">
      <c r="F712" s="8"/>
    </row>
    <row r="713" spans="6:6" x14ac:dyDescent="0.35">
      <c r="F713" s="8"/>
    </row>
    <row r="714" spans="6:6" x14ac:dyDescent="0.35">
      <c r="F714" s="8"/>
    </row>
    <row r="715" spans="6:6" x14ac:dyDescent="0.35">
      <c r="F715" s="8"/>
    </row>
    <row r="716" spans="6:6" x14ac:dyDescent="0.35">
      <c r="F716" s="8"/>
    </row>
    <row r="717" spans="6:6" x14ac:dyDescent="0.35">
      <c r="F717" s="8"/>
    </row>
    <row r="718" spans="6:6" x14ac:dyDescent="0.35">
      <c r="F718" s="8"/>
    </row>
    <row r="719" spans="6:6" x14ac:dyDescent="0.35">
      <c r="F719" s="8"/>
    </row>
    <row r="720" spans="6:6" x14ac:dyDescent="0.35">
      <c r="F720" s="8"/>
    </row>
    <row r="721" spans="6:6" x14ac:dyDescent="0.35">
      <c r="F721" s="8"/>
    </row>
    <row r="722" spans="6:6" x14ac:dyDescent="0.35">
      <c r="F722" s="8"/>
    </row>
    <row r="723" spans="6:6" x14ac:dyDescent="0.35">
      <c r="F723" s="8"/>
    </row>
    <row r="724" spans="6:6" x14ac:dyDescent="0.35">
      <c r="F724" s="8"/>
    </row>
    <row r="725" spans="6:6" x14ac:dyDescent="0.35">
      <c r="F725" s="8"/>
    </row>
    <row r="726" spans="6:6" x14ac:dyDescent="0.35">
      <c r="F726" s="8"/>
    </row>
    <row r="727" spans="6:6" x14ac:dyDescent="0.35">
      <c r="F727" s="8"/>
    </row>
    <row r="728" spans="6:6" x14ac:dyDescent="0.35">
      <c r="F728" s="8"/>
    </row>
    <row r="729" spans="6:6" x14ac:dyDescent="0.35">
      <c r="F729" s="8"/>
    </row>
    <row r="730" spans="6:6" x14ac:dyDescent="0.35">
      <c r="F730" s="8"/>
    </row>
    <row r="731" spans="6:6" x14ac:dyDescent="0.35">
      <c r="F731" s="8"/>
    </row>
    <row r="732" spans="6:6" x14ac:dyDescent="0.35">
      <c r="F732" s="8"/>
    </row>
    <row r="733" spans="6:6" x14ac:dyDescent="0.35">
      <c r="F733" s="8"/>
    </row>
    <row r="734" spans="6:6" x14ac:dyDescent="0.35">
      <c r="F734" s="8"/>
    </row>
    <row r="735" spans="6:6" x14ac:dyDescent="0.35">
      <c r="F735" s="8"/>
    </row>
    <row r="736" spans="6:6" x14ac:dyDescent="0.35">
      <c r="F736" s="8"/>
    </row>
    <row r="737" spans="6:6" x14ac:dyDescent="0.35">
      <c r="F737" s="8"/>
    </row>
    <row r="738" spans="6:6" x14ac:dyDescent="0.35">
      <c r="F738" s="8"/>
    </row>
    <row r="739" spans="6:6" x14ac:dyDescent="0.35">
      <c r="F739" s="8"/>
    </row>
    <row r="740" spans="6:6" x14ac:dyDescent="0.35">
      <c r="F740" s="8"/>
    </row>
    <row r="741" spans="6:6" x14ac:dyDescent="0.35">
      <c r="F741" s="8"/>
    </row>
    <row r="742" spans="6:6" x14ac:dyDescent="0.35">
      <c r="F742" s="8"/>
    </row>
    <row r="743" spans="6:6" x14ac:dyDescent="0.35">
      <c r="F743" s="8"/>
    </row>
    <row r="744" spans="6:6" x14ac:dyDescent="0.35">
      <c r="F744" s="8"/>
    </row>
    <row r="745" spans="6:6" x14ac:dyDescent="0.35">
      <c r="F745" s="8"/>
    </row>
    <row r="746" spans="6:6" x14ac:dyDescent="0.35">
      <c r="F746" s="8"/>
    </row>
    <row r="747" spans="6:6" x14ac:dyDescent="0.35">
      <c r="F747" s="8"/>
    </row>
    <row r="748" spans="6:6" x14ac:dyDescent="0.35">
      <c r="F748" s="8"/>
    </row>
    <row r="749" spans="6:6" x14ac:dyDescent="0.35">
      <c r="F749" s="8"/>
    </row>
    <row r="750" spans="6:6" x14ac:dyDescent="0.35">
      <c r="F750" s="8"/>
    </row>
    <row r="751" spans="6:6" x14ac:dyDescent="0.35">
      <c r="F751" s="8"/>
    </row>
    <row r="752" spans="6:6" x14ac:dyDescent="0.35">
      <c r="F752" s="8"/>
    </row>
    <row r="753" spans="6:6" x14ac:dyDescent="0.35">
      <c r="F753" s="8"/>
    </row>
    <row r="754" spans="6:6" x14ac:dyDescent="0.35">
      <c r="F754" s="8"/>
    </row>
    <row r="755" spans="6:6" x14ac:dyDescent="0.35">
      <c r="F755" s="8"/>
    </row>
    <row r="756" spans="6:6" x14ac:dyDescent="0.35">
      <c r="F756" s="8"/>
    </row>
    <row r="757" spans="6:6" x14ac:dyDescent="0.35">
      <c r="F757" s="8"/>
    </row>
    <row r="758" spans="6:6" x14ac:dyDescent="0.35">
      <c r="F758" s="8"/>
    </row>
    <row r="759" spans="6:6" x14ac:dyDescent="0.35">
      <c r="F759" s="8"/>
    </row>
    <row r="760" spans="6:6" x14ac:dyDescent="0.35">
      <c r="F760" s="8"/>
    </row>
    <row r="761" spans="6:6" x14ac:dyDescent="0.35">
      <c r="F761" s="8"/>
    </row>
    <row r="762" spans="6:6" x14ac:dyDescent="0.35">
      <c r="F762" s="8"/>
    </row>
    <row r="763" spans="6:6" x14ac:dyDescent="0.35">
      <c r="F763" s="8"/>
    </row>
    <row r="764" spans="6:6" x14ac:dyDescent="0.35">
      <c r="F764" s="8"/>
    </row>
    <row r="765" spans="6:6" x14ac:dyDescent="0.35">
      <c r="F765" s="8"/>
    </row>
    <row r="766" spans="6:6" x14ac:dyDescent="0.35">
      <c r="F766" s="8"/>
    </row>
    <row r="767" spans="6:6" x14ac:dyDescent="0.35">
      <c r="F767" s="8"/>
    </row>
    <row r="768" spans="6:6" x14ac:dyDescent="0.35">
      <c r="F768" s="8"/>
    </row>
    <row r="769" spans="6:6" x14ac:dyDescent="0.35">
      <c r="F769" s="8"/>
    </row>
    <row r="770" spans="6:6" x14ac:dyDescent="0.35">
      <c r="F770" s="8"/>
    </row>
    <row r="771" spans="6:6" x14ac:dyDescent="0.35">
      <c r="F771" s="8"/>
    </row>
    <row r="772" spans="6:6" x14ac:dyDescent="0.35">
      <c r="F772" s="8"/>
    </row>
    <row r="773" spans="6:6" x14ac:dyDescent="0.35">
      <c r="F773" s="8"/>
    </row>
    <row r="774" spans="6:6" x14ac:dyDescent="0.35">
      <c r="F774" s="8"/>
    </row>
    <row r="775" spans="6:6" x14ac:dyDescent="0.35">
      <c r="F775" s="8"/>
    </row>
    <row r="776" spans="6:6" x14ac:dyDescent="0.35">
      <c r="F776" s="8"/>
    </row>
    <row r="777" spans="6:6" x14ac:dyDescent="0.35">
      <c r="F777" s="8"/>
    </row>
    <row r="778" spans="6:6" x14ac:dyDescent="0.35">
      <c r="F778" s="8"/>
    </row>
    <row r="779" spans="6:6" x14ac:dyDescent="0.35">
      <c r="F779" s="8"/>
    </row>
    <row r="780" spans="6:6" x14ac:dyDescent="0.35">
      <c r="F780" s="8"/>
    </row>
    <row r="781" spans="6:6" x14ac:dyDescent="0.35">
      <c r="F781" s="8"/>
    </row>
    <row r="782" spans="6:6" x14ac:dyDescent="0.35">
      <c r="F782" s="8"/>
    </row>
    <row r="783" spans="6:6" x14ac:dyDescent="0.35">
      <c r="F783" s="8"/>
    </row>
    <row r="784" spans="6:6" x14ac:dyDescent="0.35">
      <c r="F784" s="8"/>
    </row>
    <row r="785" spans="6:6" x14ac:dyDescent="0.35">
      <c r="F785" s="8"/>
    </row>
    <row r="786" spans="6:6" x14ac:dyDescent="0.35">
      <c r="F786" s="8"/>
    </row>
    <row r="787" spans="6:6" x14ac:dyDescent="0.35">
      <c r="F787" s="8"/>
    </row>
    <row r="788" spans="6:6" x14ac:dyDescent="0.35">
      <c r="F788" s="8"/>
    </row>
    <row r="789" spans="6:6" x14ac:dyDescent="0.35">
      <c r="F789" s="8"/>
    </row>
    <row r="790" spans="6:6" x14ac:dyDescent="0.35">
      <c r="F790" s="8"/>
    </row>
    <row r="791" spans="6:6" x14ac:dyDescent="0.35">
      <c r="F791" s="8"/>
    </row>
    <row r="792" spans="6:6" x14ac:dyDescent="0.35">
      <c r="F792" s="8"/>
    </row>
    <row r="793" spans="6:6" x14ac:dyDescent="0.35">
      <c r="F793" s="8"/>
    </row>
    <row r="794" spans="6:6" x14ac:dyDescent="0.35">
      <c r="F794" s="8"/>
    </row>
    <row r="795" spans="6:6" x14ac:dyDescent="0.35">
      <c r="F795" s="8"/>
    </row>
    <row r="796" spans="6:6" x14ac:dyDescent="0.35">
      <c r="F796" s="8"/>
    </row>
    <row r="797" spans="6:6" x14ac:dyDescent="0.35">
      <c r="F797" s="8"/>
    </row>
    <row r="798" spans="6:6" x14ac:dyDescent="0.35">
      <c r="F798" s="8"/>
    </row>
    <row r="799" spans="6:6" x14ac:dyDescent="0.35">
      <c r="F799" s="8"/>
    </row>
    <row r="800" spans="6:6" x14ac:dyDescent="0.35">
      <c r="F800" s="8"/>
    </row>
    <row r="801" spans="6:6" x14ac:dyDescent="0.35">
      <c r="F801" s="8"/>
    </row>
    <row r="802" spans="6:6" x14ac:dyDescent="0.35">
      <c r="F802" s="8"/>
    </row>
    <row r="803" spans="6:6" x14ac:dyDescent="0.35">
      <c r="F803" s="8"/>
    </row>
    <row r="804" spans="6:6" x14ac:dyDescent="0.35">
      <c r="F804" s="8"/>
    </row>
    <row r="805" spans="6:6" x14ac:dyDescent="0.35">
      <c r="F805" s="8"/>
    </row>
    <row r="806" spans="6:6" x14ac:dyDescent="0.35">
      <c r="F806" s="8"/>
    </row>
    <row r="807" spans="6:6" x14ac:dyDescent="0.35">
      <c r="F807" s="8"/>
    </row>
    <row r="808" spans="6:6" x14ac:dyDescent="0.35">
      <c r="F808" s="8"/>
    </row>
    <row r="809" spans="6:6" x14ac:dyDescent="0.35">
      <c r="F809" s="8"/>
    </row>
    <row r="810" spans="6:6" x14ac:dyDescent="0.35">
      <c r="F810" s="8"/>
    </row>
    <row r="811" spans="6:6" x14ac:dyDescent="0.35">
      <c r="F811" s="8"/>
    </row>
    <row r="812" spans="6:6" x14ac:dyDescent="0.35">
      <c r="F812" s="8"/>
    </row>
    <row r="813" spans="6:6" x14ac:dyDescent="0.35">
      <c r="F813" s="8"/>
    </row>
    <row r="814" spans="6:6" x14ac:dyDescent="0.35">
      <c r="F814" s="8"/>
    </row>
    <row r="815" spans="6:6" x14ac:dyDescent="0.35">
      <c r="F815" s="8"/>
    </row>
    <row r="816" spans="6:6" x14ac:dyDescent="0.35">
      <c r="F816" s="8"/>
    </row>
    <row r="817" spans="6:6" x14ac:dyDescent="0.35">
      <c r="F817" s="8"/>
    </row>
    <row r="818" spans="6:6" x14ac:dyDescent="0.35">
      <c r="F818" s="8"/>
    </row>
    <row r="819" spans="6:6" x14ac:dyDescent="0.35">
      <c r="F819" s="8"/>
    </row>
    <row r="820" spans="6:6" x14ac:dyDescent="0.35">
      <c r="F820" s="8"/>
    </row>
    <row r="821" spans="6:6" x14ac:dyDescent="0.35">
      <c r="F821" s="8"/>
    </row>
    <row r="822" spans="6:6" x14ac:dyDescent="0.35">
      <c r="F822" s="8"/>
    </row>
    <row r="823" spans="6:6" x14ac:dyDescent="0.35">
      <c r="F823" s="8"/>
    </row>
    <row r="824" spans="6:6" x14ac:dyDescent="0.35">
      <c r="F824" s="8"/>
    </row>
    <row r="825" spans="6:6" x14ac:dyDescent="0.35">
      <c r="F825" s="8"/>
    </row>
    <row r="826" spans="6:6" x14ac:dyDescent="0.35">
      <c r="F826" s="8"/>
    </row>
    <row r="827" spans="6:6" x14ac:dyDescent="0.35">
      <c r="F827" s="8"/>
    </row>
    <row r="828" spans="6:6" x14ac:dyDescent="0.35">
      <c r="F828" s="8"/>
    </row>
    <row r="829" spans="6:6" x14ac:dyDescent="0.35">
      <c r="F829" s="8"/>
    </row>
    <row r="830" spans="6:6" x14ac:dyDescent="0.35">
      <c r="F830" s="8"/>
    </row>
    <row r="831" spans="6:6" x14ac:dyDescent="0.35">
      <c r="F831" s="8"/>
    </row>
    <row r="832" spans="6:6" x14ac:dyDescent="0.35">
      <c r="F832" s="8"/>
    </row>
    <row r="833" spans="6:6" x14ac:dyDescent="0.35">
      <c r="F833" s="8"/>
    </row>
    <row r="834" spans="6:6" x14ac:dyDescent="0.35">
      <c r="F834" s="8"/>
    </row>
    <row r="835" spans="6:6" x14ac:dyDescent="0.35">
      <c r="F835" s="8"/>
    </row>
    <row r="836" spans="6:6" x14ac:dyDescent="0.35">
      <c r="F836" s="8"/>
    </row>
    <row r="837" spans="6:6" x14ac:dyDescent="0.35">
      <c r="F837" s="8"/>
    </row>
    <row r="838" spans="6:6" x14ac:dyDescent="0.35">
      <c r="F838" s="8"/>
    </row>
    <row r="839" spans="6:6" x14ac:dyDescent="0.35">
      <c r="F839" s="8"/>
    </row>
    <row r="840" spans="6:6" x14ac:dyDescent="0.35">
      <c r="F840" s="8"/>
    </row>
    <row r="841" spans="6:6" x14ac:dyDescent="0.35">
      <c r="F841" s="8"/>
    </row>
    <row r="842" spans="6:6" x14ac:dyDescent="0.35">
      <c r="F842" s="8"/>
    </row>
    <row r="843" spans="6:6" x14ac:dyDescent="0.35">
      <c r="F843" s="8"/>
    </row>
    <row r="844" spans="6:6" x14ac:dyDescent="0.35">
      <c r="F844" s="8"/>
    </row>
    <row r="845" spans="6:6" x14ac:dyDescent="0.35">
      <c r="F845" s="8"/>
    </row>
    <row r="846" spans="6:6" x14ac:dyDescent="0.35">
      <c r="F846" s="8"/>
    </row>
    <row r="847" spans="6:6" x14ac:dyDescent="0.35">
      <c r="F847" s="8"/>
    </row>
    <row r="848" spans="6:6" x14ac:dyDescent="0.35">
      <c r="F848" s="8"/>
    </row>
    <row r="849" spans="6:6" x14ac:dyDescent="0.35">
      <c r="F849" s="8"/>
    </row>
    <row r="850" spans="6:6" x14ac:dyDescent="0.35">
      <c r="F850" s="8"/>
    </row>
    <row r="851" spans="6:6" x14ac:dyDescent="0.35">
      <c r="F851" s="8"/>
    </row>
    <row r="852" spans="6:6" x14ac:dyDescent="0.35">
      <c r="F852" s="8"/>
    </row>
    <row r="853" spans="6:6" x14ac:dyDescent="0.35">
      <c r="F853" s="8"/>
    </row>
    <row r="854" spans="6:6" x14ac:dyDescent="0.35">
      <c r="F854" s="8"/>
    </row>
    <row r="855" spans="6:6" x14ac:dyDescent="0.35">
      <c r="F855" s="8"/>
    </row>
    <row r="856" spans="6:6" x14ac:dyDescent="0.35">
      <c r="F856" s="8"/>
    </row>
    <row r="857" spans="6:6" x14ac:dyDescent="0.35">
      <c r="F857" s="8"/>
    </row>
    <row r="858" spans="6:6" x14ac:dyDescent="0.35">
      <c r="F858" s="8"/>
    </row>
    <row r="859" spans="6:6" x14ac:dyDescent="0.35">
      <c r="F859" s="8"/>
    </row>
    <row r="860" spans="6:6" x14ac:dyDescent="0.35">
      <c r="F860" s="8"/>
    </row>
    <row r="861" spans="6:6" x14ac:dyDescent="0.35">
      <c r="F861" s="8"/>
    </row>
    <row r="862" spans="6:6" x14ac:dyDescent="0.35">
      <c r="F862" s="8"/>
    </row>
    <row r="863" spans="6:6" x14ac:dyDescent="0.35">
      <c r="F863" s="8"/>
    </row>
    <row r="864" spans="6:6" x14ac:dyDescent="0.35">
      <c r="F864" s="8"/>
    </row>
    <row r="865" spans="6:6" x14ac:dyDescent="0.35">
      <c r="F865" s="8"/>
    </row>
    <row r="866" spans="6:6" x14ac:dyDescent="0.35">
      <c r="F866" s="8"/>
    </row>
    <row r="867" spans="6:6" x14ac:dyDescent="0.35">
      <c r="F867" s="8"/>
    </row>
    <row r="868" spans="6:6" x14ac:dyDescent="0.35">
      <c r="F868" s="8"/>
    </row>
    <row r="869" spans="6:6" x14ac:dyDescent="0.35">
      <c r="F869" s="8"/>
    </row>
    <row r="870" spans="6:6" x14ac:dyDescent="0.35">
      <c r="F870" s="8"/>
    </row>
    <row r="871" spans="6:6" x14ac:dyDescent="0.35">
      <c r="F871" s="8"/>
    </row>
    <row r="872" spans="6:6" x14ac:dyDescent="0.35">
      <c r="F872" s="8"/>
    </row>
    <row r="873" spans="6:6" x14ac:dyDescent="0.35">
      <c r="F873" s="8"/>
    </row>
    <row r="874" spans="6:6" x14ac:dyDescent="0.35">
      <c r="F874" s="8"/>
    </row>
    <row r="875" spans="6:6" x14ac:dyDescent="0.35">
      <c r="F875" s="8"/>
    </row>
    <row r="876" spans="6:6" x14ac:dyDescent="0.35">
      <c r="F876" s="8"/>
    </row>
    <row r="877" spans="6:6" x14ac:dyDescent="0.35">
      <c r="F877" s="8"/>
    </row>
    <row r="878" spans="6:6" x14ac:dyDescent="0.35">
      <c r="F878" s="8"/>
    </row>
    <row r="879" spans="6:6" x14ac:dyDescent="0.35">
      <c r="F879" s="8"/>
    </row>
    <row r="880" spans="6:6" x14ac:dyDescent="0.35">
      <c r="F880" s="8"/>
    </row>
    <row r="881" spans="6:6" x14ac:dyDescent="0.35">
      <c r="F881" s="8"/>
    </row>
    <row r="882" spans="6:6" x14ac:dyDescent="0.35">
      <c r="F882" s="8"/>
    </row>
    <row r="883" spans="6:6" x14ac:dyDescent="0.35">
      <c r="F883" s="8"/>
    </row>
    <row r="884" spans="6:6" x14ac:dyDescent="0.35">
      <c r="F884" s="8"/>
    </row>
    <row r="885" spans="6:6" x14ac:dyDescent="0.35">
      <c r="F885" s="8"/>
    </row>
    <row r="886" spans="6:6" x14ac:dyDescent="0.35">
      <c r="F886" s="8"/>
    </row>
    <row r="887" spans="6:6" x14ac:dyDescent="0.35">
      <c r="F887" s="8"/>
    </row>
    <row r="888" spans="6:6" x14ac:dyDescent="0.35">
      <c r="F888" s="8"/>
    </row>
    <row r="889" spans="6:6" x14ac:dyDescent="0.35">
      <c r="F889" s="8"/>
    </row>
    <row r="890" spans="6:6" x14ac:dyDescent="0.35">
      <c r="F890" s="8"/>
    </row>
    <row r="891" spans="6:6" x14ac:dyDescent="0.35">
      <c r="F891" s="8"/>
    </row>
    <row r="892" spans="6:6" x14ac:dyDescent="0.35">
      <c r="F892" s="8"/>
    </row>
    <row r="893" spans="6:6" x14ac:dyDescent="0.35">
      <c r="F893" s="8"/>
    </row>
    <row r="894" spans="6:6" x14ac:dyDescent="0.35">
      <c r="F894" s="8"/>
    </row>
    <row r="895" spans="6:6" x14ac:dyDescent="0.35">
      <c r="F895" s="8"/>
    </row>
    <row r="896" spans="6:6" x14ac:dyDescent="0.35">
      <c r="F896" s="8"/>
    </row>
    <row r="897" spans="6:6" x14ac:dyDescent="0.35">
      <c r="F897" s="8"/>
    </row>
    <row r="898" spans="6:6" x14ac:dyDescent="0.35">
      <c r="F898" s="8"/>
    </row>
    <row r="899" spans="6:6" x14ac:dyDescent="0.35">
      <c r="F899" s="8"/>
    </row>
    <row r="900" spans="6:6" x14ac:dyDescent="0.35">
      <c r="F900" s="8"/>
    </row>
    <row r="901" spans="6:6" x14ac:dyDescent="0.35">
      <c r="F901" s="8"/>
    </row>
    <row r="902" spans="6:6" x14ac:dyDescent="0.35">
      <c r="F902" s="8"/>
    </row>
    <row r="903" spans="6:6" x14ac:dyDescent="0.35">
      <c r="F903" s="8"/>
    </row>
    <row r="904" spans="6:6" x14ac:dyDescent="0.35">
      <c r="F904" s="8"/>
    </row>
    <row r="905" spans="6:6" x14ac:dyDescent="0.35">
      <c r="F905" s="8"/>
    </row>
    <row r="906" spans="6:6" x14ac:dyDescent="0.35">
      <c r="F906" s="8"/>
    </row>
    <row r="907" spans="6:6" x14ac:dyDescent="0.35">
      <c r="F907" s="8"/>
    </row>
    <row r="908" spans="6:6" x14ac:dyDescent="0.35">
      <c r="F908" s="8"/>
    </row>
    <row r="909" spans="6:6" x14ac:dyDescent="0.35">
      <c r="F909" s="8"/>
    </row>
    <row r="910" spans="6:6" x14ac:dyDescent="0.35">
      <c r="F910" s="8"/>
    </row>
    <row r="911" spans="6:6" x14ac:dyDescent="0.35">
      <c r="F911" s="8"/>
    </row>
    <row r="912" spans="6:6" x14ac:dyDescent="0.35">
      <c r="F912" s="8"/>
    </row>
    <row r="913" spans="6:6" x14ac:dyDescent="0.35">
      <c r="F913" s="8"/>
    </row>
    <row r="914" spans="6:6" x14ac:dyDescent="0.35">
      <c r="F914" s="8"/>
    </row>
    <row r="915" spans="6:6" x14ac:dyDescent="0.35">
      <c r="F915" s="8"/>
    </row>
    <row r="916" spans="6:6" x14ac:dyDescent="0.35">
      <c r="F916" s="8"/>
    </row>
    <row r="917" spans="6:6" x14ac:dyDescent="0.35">
      <c r="F917" s="8"/>
    </row>
    <row r="918" spans="6:6" x14ac:dyDescent="0.35">
      <c r="F918" s="8"/>
    </row>
    <row r="919" spans="6:6" x14ac:dyDescent="0.35">
      <c r="F919" s="8"/>
    </row>
    <row r="920" spans="6:6" x14ac:dyDescent="0.35">
      <c r="F920" s="8"/>
    </row>
    <row r="921" spans="6:6" x14ac:dyDescent="0.35">
      <c r="F921" s="8"/>
    </row>
    <row r="922" spans="6:6" x14ac:dyDescent="0.35">
      <c r="F922" s="8"/>
    </row>
    <row r="923" spans="6:6" x14ac:dyDescent="0.35">
      <c r="F923" s="8"/>
    </row>
    <row r="924" spans="6:6" x14ac:dyDescent="0.35">
      <c r="F924" s="8"/>
    </row>
    <row r="925" spans="6:6" x14ac:dyDescent="0.35">
      <c r="F925" s="8"/>
    </row>
    <row r="926" spans="6:6" x14ac:dyDescent="0.35">
      <c r="F926" s="8"/>
    </row>
    <row r="927" spans="6:6" x14ac:dyDescent="0.35">
      <c r="F927" s="8"/>
    </row>
    <row r="928" spans="6:6" x14ac:dyDescent="0.35">
      <c r="F928" s="8"/>
    </row>
    <row r="929" spans="6:6" x14ac:dyDescent="0.35">
      <c r="F929" s="8"/>
    </row>
    <row r="930" spans="6:6" x14ac:dyDescent="0.35">
      <c r="F930" s="8"/>
    </row>
    <row r="931" spans="6:6" x14ac:dyDescent="0.35">
      <c r="F931" s="8"/>
    </row>
    <row r="932" spans="6:6" x14ac:dyDescent="0.35">
      <c r="F932" s="8"/>
    </row>
    <row r="933" spans="6:6" x14ac:dyDescent="0.35">
      <c r="F933" s="8"/>
    </row>
    <row r="934" spans="6:6" x14ac:dyDescent="0.35">
      <c r="F934" s="8"/>
    </row>
    <row r="935" spans="6:6" x14ac:dyDescent="0.35">
      <c r="F935" s="8"/>
    </row>
    <row r="936" spans="6:6" x14ac:dyDescent="0.35">
      <c r="F936" s="8"/>
    </row>
    <row r="937" spans="6:6" x14ac:dyDescent="0.35">
      <c r="F937" s="8"/>
    </row>
    <row r="938" spans="6:6" x14ac:dyDescent="0.35">
      <c r="F938" s="8"/>
    </row>
    <row r="939" spans="6:6" x14ac:dyDescent="0.35">
      <c r="F939" s="8"/>
    </row>
    <row r="940" spans="6:6" x14ac:dyDescent="0.35">
      <c r="F940" s="8"/>
    </row>
    <row r="941" spans="6:6" x14ac:dyDescent="0.35">
      <c r="F941" s="8"/>
    </row>
    <row r="942" spans="6:6" x14ac:dyDescent="0.35">
      <c r="F942" s="8"/>
    </row>
    <row r="943" spans="6:6" x14ac:dyDescent="0.35">
      <c r="F943" s="8"/>
    </row>
    <row r="944" spans="6:6" x14ac:dyDescent="0.35">
      <c r="F944" s="8"/>
    </row>
    <row r="945" spans="6:6" x14ac:dyDescent="0.35">
      <c r="F945" s="8"/>
    </row>
    <row r="946" spans="6:6" x14ac:dyDescent="0.35">
      <c r="F946" s="8"/>
    </row>
    <row r="947" spans="6:6" x14ac:dyDescent="0.35">
      <c r="F947" s="8"/>
    </row>
    <row r="948" spans="6:6" x14ac:dyDescent="0.35">
      <c r="F948" s="8"/>
    </row>
    <row r="949" spans="6:6" x14ac:dyDescent="0.35">
      <c r="F949" s="8"/>
    </row>
    <row r="950" spans="6:6" x14ac:dyDescent="0.35">
      <c r="F950" s="8"/>
    </row>
    <row r="951" spans="6:6" x14ac:dyDescent="0.35">
      <c r="F951" s="8"/>
    </row>
    <row r="952" spans="6:6" x14ac:dyDescent="0.35">
      <c r="F952" s="8"/>
    </row>
    <row r="953" spans="6:6" x14ac:dyDescent="0.35">
      <c r="F953" s="8"/>
    </row>
    <row r="954" spans="6:6" x14ac:dyDescent="0.35">
      <c r="F954" s="8"/>
    </row>
    <row r="955" spans="6:6" x14ac:dyDescent="0.35">
      <c r="F955" s="8"/>
    </row>
    <row r="956" spans="6:6" x14ac:dyDescent="0.35">
      <c r="F956" s="8"/>
    </row>
    <row r="957" spans="6:6" x14ac:dyDescent="0.35">
      <c r="F957" s="8"/>
    </row>
    <row r="958" spans="6:6" x14ac:dyDescent="0.35">
      <c r="F958" s="8"/>
    </row>
    <row r="959" spans="6:6" x14ac:dyDescent="0.35">
      <c r="F959" s="8"/>
    </row>
    <row r="960" spans="6:6" x14ac:dyDescent="0.35">
      <c r="F960" s="8"/>
    </row>
    <row r="961" spans="6:6" x14ac:dyDescent="0.35">
      <c r="F961" s="8"/>
    </row>
    <row r="962" spans="6:6" x14ac:dyDescent="0.35">
      <c r="F962" s="8"/>
    </row>
    <row r="963" spans="6:6" x14ac:dyDescent="0.35">
      <c r="F963" s="8"/>
    </row>
    <row r="964" spans="6:6" x14ac:dyDescent="0.35">
      <c r="F964" s="8"/>
    </row>
    <row r="965" spans="6:6" x14ac:dyDescent="0.35">
      <c r="F965" s="8"/>
    </row>
    <row r="966" spans="6:6" x14ac:dyDescent="0.35">
      <c r="F966" s="8"/>
    </row>
    <row r="967" spans="6:6" x14ac:dyDescent="0.35">
      <c r="F967" s="8"/>
    </row>
    <row r="968" spans="6:6" x14ac:dyDescent="0.35">
      <c r="F968" s="8"/>
    </row>
    <row r="969" spans="6:6" x14ac:dyDescent="0.35">
      <c r="F969" s="8"/>
    </row>
    <row r="970" spans="6:6" x14ac:dyDescent="0.35">
      <c r="F970" s="8"/>
    </row>
    <row r="971" spans="6:6" x14ac:dyDescent="0.35">
      <c r="F971" s="8"/>
    </row>
    <row r="972" spans="6:6" x14ac:dyDescent="0.35">
      <c r="F972" s="8"/>
    </row>
    <row r="973" spans="6:6" x14ac:dyDescent="0.35">
      <c r="F973" s="8"/>
    </row>
    <row r="974" spans="6:6" x14ac:dyDescent="0.35">
      <c r="F974" s="8"/>
    </row>
    <row r="975" spans="6:6" x14ac:dyDescent="0.35">
      <c r="F975" s="8"/>
    </row>
    <row r="976" spans="6:6" x14ac:dyDescent="0.35">
      <c r="F976" s="8"/>
    </row>
    <row r="977" spans="6:6" x14ac:dyDescent="0.35">
      <c r="F977" s="8"/>
    </row>
    <row r="978" spans="6:6" x14ac:dyDescent="0.35">
      <c r="F978" s="8"/>
    </row>
    <row r="979" spans="6:6" x14ac:dyDescent="0.35">
      <c r="F979" s="8"/>
    </row>
    <row r="980" spans="6:6" x14ac:dyDescent="0.35">
      <c r="F980" s="8"/>
    </row>
    <row r="981" spans="6:6" x14ac:dyDescent="0.35">
      <c r="F981" s="8"/>
    </row>
    <row r="982" spans="6:6" x14ac:dyDescent="0.35">
      <c r="F982" s="8"/>
    </row>
    <row r="983" spans="6:6" x14ac:dyDescent="0.35">
      <c r="F983" s="8"/>
    </row>
    <row r="984" spans="6:6" x14ac:dyDescent="0.35">
      <c r="F984" s="8"/>
    </row>
    <row r="985" spans="6:6" x14ac:dyDescent="0.35">
      <c r="F985" s="8"/>
    </row>
    <row r="986" spans="6:6" x14ac:dyDescent="0.35">
      <c r="F986" s="8"/>
    </row>
    <row r="987" spans="6:6" x14ac:dyDescent="0.35">
      <c r="F987" s="8"/>
    </row>
    <row r="988" spans="6:6" x14ac:dyDescent="0.35">
      <c r="F988" s="8"/>
    </row>
    <row r="989" spans="6:6" x14ac:dyDescent="0.35">
      <c r="F989" s="8"/>
    </row>
    <row r="990" spans="6:6" x14ac:dyDescent="0.35">
      <c r="F990" s="8"/>
    </row>
    <row r="991" spans="6:6" x14ac:dyDescent="0.35">
      <c r="F991" s="8"/>
    </row>
    <row r="992" spans="6:6" x14ac:dyDescent="0.35">
      <c r="F992" s="8"/>
    </row>
    <row r="993" spans="6:6" x14ac:dyDescent="0.35">
      <c r="F993" s="8"/>
    </row>
    <row r="994" spans="6:6" x14ac:dyDescent="0.35">
      <c r="F994" s="8"/>
    </row>
    <row r="995" spans="6:6" x14ac:dyDescent="0.35">
      <c r="F995" s="8"/>
    </row>
    <row r="996" spans="6:6" x14ac:dyDescent="0.35">
      <c r="F996" s="8"/>
    </row>
    <row r="997" spans="6:6" x14ac:dyDescent="0.35">
      <c r="F997" s="8"/>
    </row>
    <row r="998" spans="6:6" x14ac:dyDescent="0.35">
      <c r="F998" s="8"/>
    </row>
    <row r="999" spans="6:6" x14ac:dyDescent="0.35">
      <c r="F999" s="8"/>
    </row>
    <row r="1000" spans="6:6" x14ac:dyDescent="0.35">
      <c r="F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</vt:lpstr>
      <vt:lpstr>jenis_pekerjaan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Rengga</dc:creator>
  <cp:lastModifiedBy>rengga rs</cp:lastModifiedBy>
  <dcterms:created xsi:type="dcterms:W3CDTF">2026-02-05T02:50:09Z</dcterms:created>
  <dcterms:modified xsi:type="dcterms:W3CDTF">2026-02-05T04:04:23Z</dcterms:modified>
</cp:coreProperties>
</file>